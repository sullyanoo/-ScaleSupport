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omnect2019-my.sharepoint.com/personal/lolegario_comnect_com_br/Documents/Documentos/"/>
    </mc:Choice>
  </mc:AlternateContent>
  <xr:revisionPtr revIDLastSave="1577" documentId="8_{EC84F7CA-DABA-45C5-8F97-C65587262EA4}" xr6:coauthVersionLast="47" xr6:coauthVersionMax="47" xr10:uidLastSave="{A30C5E83-2C06-4DA7-A47F-F549DD5503E7}"/>
  <bookViews>
    <workbookView xWindow="28680" yWindow="-120" windowWidth="29040" windowHeight="15720" activeTab="1" xr2:uid="{14D2BA9B-8FF6-4D46-BF8E-DDA00040DED6}"/>
  </bookViews>
  <sheets>
    <sheet name="Escala" sheetId="5" r:id="rId1"/>
    <sheet name="EscalaLinear" sheetId="1" r:id="rId2"/>
    <sheet name="Configuração" sheetId="2" r:id="rId3"/>
    <sheet name="Dashboard" sheetId="3" r:id="rId4"/>
  </sheets>
  <functionGroups builtInGroupCount="19"/>
  <externalReferences>
    <externalReference r:id="rId5"/>
  </externalReferences>
  <definedNames>
    <definedName name="_xlnm._FilterDatabase" localSheetId="2" hidden="1">Configuração!$B$24:$AG$25</definedName>
    <definedName name="_xlnm._FilterDatabase" localSheetId="3" hidden="1">Dashboard!$P$17:$AU$27</definedName>
    <definedName name="_lTurnos">[1]!tTurnos[Turnos]</definedName>
    <definedName name="lTurn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0" i="2" l="1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D20" i="2"/>
  <c r="K20" i="2"/>
  <c r="J20" i="2"/>
  <c r="I20" i="2"/>
  <c r="H20" i="2"/>
  <c r="G20" i="2"/>
  <c r="F20" i="2"/>
  <c r="E20" i="2"/>
  <c r="B6" i="3" l="1"/>
  <c r="N6" i="3"/>
  <c r="D9" i="2" l="1"/>
  <c r="P6" i="3" a="1"/>
  <c r="P6" i="3" s="1"/>
  <c r="AV6" i="3" s="1"/>
  <c r="J6" i="3"/>
  <c r="B8" i="5"/>
  <c r="B7" i="5" s="1"/>
  <c r="B22" i="5"/>
  <c r="B23" i="5" s="1"/>
  <c r="AM15" i="2" a="1"/>
  <c r="AM16" i="2" a="1"/>
  <c r="AM8" i="2" a="1"/>
  <c r="AM11" i="2" a="1"/>
  <c r="AM14" i="2" a="1"/>
  <c r="AM12" i="2" a="1"/>
  <c r="AM10" i="2" a="1"/>
  <c r="AM17" i="2" a="1"/>
  <c r="AM13" i="2" a="1"/>
  <c r="AM9" i="2" a="1"/>
  <c r="AU13" i="3" a="1"/>
  <c r="AU10" i="3" a="1"/>
  <c r="AU6" i="3" a="1"/>
  <c r="AU8" i="3" a="1"/>
  <c r="AU7" i="3" a="1"/>
  <c r="AU11" i="3" a="1"/>
  <c r="AU15" i="3" a="1"/>
  <c r="AU12" i="3" a="1"/>
  <c r="AU14" i="3" a="1"/>
  <c r="AU9" i="3" a="1"/>
  <c r="C8" i="5" l="1"/>
  <c r="D8" i="5" s="1"/>
  <c r="E8" i="5" s="1"/>
  <c r="F8" i="5" s="1"/>
  <c r="G8" i="5" s="1"/>
  <c r="H8" i="5" s="1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T8" i="5" s="1"/>
  <c r="U8" i="5" s="1"/>
  <c r="V8" i="5" s="1"/>
  <c r="W8" i="5" s="1"/>
  <c r="X8" i="5" s="1"/>
  <c r="Y8" i="5" s="1"/>
  <c r="Z8" i="5" s="1"/>
  <c r="AA8" i="5" s="1"/>
  <c r="AB8" i="5" s="1"/>
  <c r="AC8" i="5" s="1"/>
  <c r="AD8" i="5" s="1"/>
  <c r="AE8" i="5" s="1"/>
  <c r="AF8" i="5" s="1"/>
  <c r="AM11" i="2"/>
  <c r="AM8" i="2"/>
  <c r="AV12" i="3"/>
  <c r="AV8" i="3"/>
  <c r="AV11" i="3"/>
  <c r="AV9" i="3"/>
  <c r="AV15" i="3"/>
  <c r="AV14" i="3"/>
  <c r="AV13" i="3"/>
  <c r="AV10" i="3"/>
  <c r="AV7" i="3"/>
  <c r="AU9" i="3"/>
  <c r="AU8" i="3"/>
  <c r="AU15" i="3"/>
  <c r="AU14" i="3"/>
  <c r="AU13" i="3"/>
  <c r="AU12" i="3"/>
  <c r="AU11" i="3"/>
  <c r="AU10" i="3"/>
  <c r="AU7" i="3"/>
  <c r="AU6" i="3"/>
  <c r="AW6" i="3" s="1"/>
  <c r="AM17" i="2"/>
  <c r="AM16" i="2"/>
  <c r="AM15" i="2"/>
  <c r="AM14" i="2"/>
  <c r="AM13" i="2"/>
  <c r="AM12" i="2"/>
  <c r="AM10" i="2"/>
  <c r="AM9" i="2"/>
  <c r="BX4" i="1" l="1" a="1"/>
  <c r="AW12" i="3"/>
  <c r="AW8" i="3"/>
  <c r="AW13" i="3"/>
  <c r="AW7" i="3"/>
  <c r="AW10" i="3"/>
  <c r="AW14" i="3"/>
  <c r="AW15" i="3"/>
  <c r="AW11" i="3"/>
  <c r="AW9" i="3"/>
  <c r="F6" i="3"/>
  <c r="C7" i="5"/>
  <c r="C4" i="1"/>
  <c r="D8" i="2"/>
  <c r="E9" i="2"/>
  <c r="F9" i="2" s="1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U131" i="1" l="1"/>
  <c r="BS100" i="1"/>
  <c r="AY100" i="1"/>
  <c r="AE100" i="1"/>
  <c r="K100" i="1"/>
  <c r="BI69" i="1"/>
  <c r="AO69" i="1"/>
  <c r="U69" i="1"/>
  <c r="BS38" i="1"/>
  <c r="AY38" i="1"/>
  <c r="H145" i="1"/>
  <c r="AL52" i="1"/>
  <c r="BN81" i="1"/>
  <c r="AJ50" i="1"/>
  <c r="AV52" i="1"/>
  <c r="AA114" i="1"/>
  <c r="BO52" i="1"/>
  <c r="P143" i="1"/>
  <c r="F112" i="1"/>
  <c r="BM112" i="1"/>
  <c r="BC81" i="1"/>
  <c r="AR109" i="1"/>
  <c r="AH78" i="1"/>
  <c r="BK109" i="1"/>
  <c r="AG78" i="1"/>
  <c r="BT100" i="1"/>
  <c r="BT38" i="1"/>
  <c r="AD148" i="1"/>
  <c r="J148" i="1"/>
  <c r="BH117" i="1"/>
  <c r="AN117" i="1"/>
  <c r="T117" i="1"/>
  <c r="BR86" i="1"/>
  <c r="AX86" i="1"/>
  <c r="AF69" i="1"/>
  <c r="J86" i="1"/>
  <c r="BH55" i="1"/>
  <c r="AN55" i="1"/>
  <c r="AB145" i="1"/>
  <c r="AB83" i="1"/>
  <c r="BF83" i="1"/>
  <c r="BP52" i="1"/>
  <c r="BO114" i="1"/>
  <c r="AU52" i="1"/>
  <c r="BD81" i="1"/>
  <c r="Z50" i="1"/>
  <c r="AS112" i="1"/>
  <c r="AS50" i="1"/>
  <c r="D109" i="1"/>
  <c r="AR47" i="1"/>
  <c r="BA78" i="1"/>
  <c r="AQ47" i="1"/>
  <c r="V131" i="1"/>
  <c r="V69" i="1"/>
  <c r="AC148" i="1"/>
  <c r="I148" i="1"/>
  <c r="BG117" i="1"/>
  <c r="AM117" i="1"/>
  <c r="S117" i="1"/>
  <c r="BQ86" i="1"/>
  <c r="AW86" i="1"/>
  <c r="AE69" i="1"/>
  <c r="I86" i="1"/>
  <c r="BG55" i="1"/>
  <c r="AM55" i="1"/>
  <c r="BF114" i="1"/>
  <c r="AL114" i="1"/>
  <c r="R114" i="1"/>
  <c r="BP83" i="1"/>
  <c r="AV83" i="1"/>
  <c r="AD86" i="1"/>
  <c r="H83" i="1"/>
  <c r="BF52" i="1"/>
  <c r="BD112" i="1"/>
  <c r="F81" i="1"/>
  <c r="Q145" i="1"/>
  <c r="BE83" i="1"/>
  <c r="BN112" i="1"/>
  <c r="AT50" i="1"/>
  <c r="Y112" i="1"/>
  <c r="BM50" i="1"/>
  <c r="X109" i="1"/>
  <c r="M140" i="1"/>
  <c r="M78" i="1"/>
  <c r="AZ100" i="1"/>
  <c r="AA145" i="1"/>
  <c r="G145" i="1"/>
  <c r="BE114" i="1"/>
  <c r="AK114" i="1"/>
  <c r="Q114" i="1"/>
  <c r="BO83" i="1"/>
  <c r="AU83" i="1"/>
  <c r="AC86" i="1"/>
  <c r="G83" i="1"/>
  <c r="BE52" i="1"/>
  <c r="AK52" i="1"/>
  <c r="Z143" i="1"/>
  <c r="F143" i="1"/>
  <c r="AJ112" i="1"/>
  <c r="P112" i="1"/>
  <c r="AT81" i="1"/>
  <c r="BD50" i="1"/>
  <c r="H114" i="1"/>
  <c r="AB52" i="1"/>
  <c r="AA52" i="1"/>
  <c r="Z112" i="1"/>
  <c r="N140" i="1"/>
  <c r="AF100" i="1"/>
  <c r="Y143" i="1"/>
  <c r="E143" i="1"/>
  <c r="BC112" i="1"/>
  <c r="AI112" i="1"/>
  <c r="O112" i="1"/>
  <c r="BM81" i="1"/>
  <c r="AS81" i="1"/>
  <c r="AA83" i="1"/>
  <c r="E81" i="1"/>
  <c r="BC50" i="1"/>
  <c r="AI50" i="1"/>
  <c r="W140" i="1"/>
  <c r="BA109" i="1"/>
  <c r="AG109" i="1"/>
  <c r="BK78" i="1"/>
  <c r="Y81" i="1"/>
  <c r="BA47" i="1"/>
  <c r="R145" i="1"/>
  <c r="AL83" i="1"/>
  <c r="G114" i="1"/>
  <c r="AJ81" i="1"/>
  <c r="O81" i="1"/>
  <c r="BB78" i="1"/>
  <c r="AQ109" i="1"/>
  <c r="AP69" i="1"/>
  <c r="X140" i="1"/>
  <c r="D140" i="1"/>
  <c r="BB109" i="1"/>
  <c r="AH109" i="1"/>
  <c r="N109" i="1"/>
  <c r="BL78" i="1"/>
  <c r="AR78" i="1"/>
  <c r="Z81" i="1"/>
  <c r="D78" i="1"/>
  <c r="BB47" i="1"/>
  <c r="AH47" i="1"/>
  <c r="C140" i="1"/>
  <c r="M109" i="1"/>
  <c r="AQ78" i="1"/>
  <c r="C78" i="1"/>
  <c r="AG47" i="1"/>
  <c r="AV114" i="1"/>
  <c r="AK83" i="1"/>
  <c r="BN50" i="1"/>
  <c r="E112" i="1"/>
  <c r="BL47" i="1"/>
  <c r="C109" i="1"/>
  <c r="AF131" i="1"/>
  <c r="L131" i="1"/>
  <c r="BJ100" i="1"/>
  <c r="AP100" i="1"/>
  <c r="V100" i="1"/>
  <c r="BT69" i="1"/>
  <c r="AZ69" i="1"/>
  <c r="X78" i="1"/>
  <c r="L69" i="1"/>
  <c r="BJ38" i="1"/>
  <c r="AP38" i="1"/>
  <c r="AE131" i="1"/>
  <c r="K131" i="1"/>
  <c r="BI100" i="1"/>
  <c r="AO100" i="1"/>
  <c r="U100" i="1"/>
  <c r="BS69" i="1"/>
  <c r="AY69" i="1"/>
  <c r="W78" i="1"/>
  <c r="K69" i="1"/>
  <c r="BI38" i="1"/>
  <c r="AO38" i="1"/>
  <c r="T148" i="1"/>
  <c r="BR117" i="1"/>
  <c r="AX117" i="1"/>
  <c r="AD117" i="1"/>
  <c r="J117" i="1"/>
  <c r="BH86" i="1"/>
  <c r="AN86" i="1"/>
  <c r="T86" i="1"/>
  <c r="BR55" i="1"/>
  <c r="AX55" i="1"/>
  <c r="AD55" i="1"/>
  <c r="S148" i="1"/>
  <c r="BQ117" i="1"/>
  <c r="AW117" i="1"/>
  <c r="AC117" i="1"/>
  <c r="I117" i="1"/>
  <c r="BG86" i="1"/>
  <c r="AM86" i="1"/>
  <c r="S86" i="1"/>
  <c r="BQ55" i="1"/>
  <c r="AW55" i="1"/>
  <c r="AC55" i="1"/>
  <c r="BP114" i="1"/>
  <c r="AB114" i="1"/>
  <c r="R83" i="1"/>
  <c r="AU114" i="1"/>
  <c r="Q83" i="1"/>
  <c r="AT112" i="1"/>
  <c r="P81" i="1"/>
  <c r="O143" i="1"/>
  <c r="AI81" i="1"/>
  <c r="BL109" i="1"/>
  <c r="N78" i="1"/>
  <c r="W109" i="1"/>
  <c r="BK47" i="1"/>
  <c r="L100" i="1"/>
  <c r="BJ69" i="1"/>
  <c r="AZ38" i="1"/>
  <c r="Y50" i="1"/>
  <c r="X47" i="1"/>
  <c r="W47" i="1"/>
  <c r="AF38" i="1"/>
  <c r="AE38" i="1"/>
  <c r="T55" i="1"/>
  <c r="S55" i="1"/>
  <c r="R52" i="1"/>
  <c r="Q52" i="1"/>
  <c r="P50" i="1"/>
  <c r="BN19" i="1"/>
  <c r="AT19" i="1"/>
  <c r="Z19" i="1"/>
  <c r="BM19" i="1"/>
  <c r="AS19" i="1"/>
  <c r="Y19" i="1"/>
  <c r="BL16" i="1"/>
  <c r="AR16" i="1"/>
  <c r="X16" i="1"/>
  <c r="AU21" i="1"/>
  <c r="O50" i="1"/>
  <c r="N47" i="1"/>
  <c r="M47" i="1"/>
  <c r="BK16" i="1"/>
  <c r="AQ16" i="1"/>
  <c r="W16" i="1"/>
  <c r="BT7" i="1"/>
  <c r="AZ7" i="1"/>
  <c r="AF7" i="1"/>
  <c r="BJ7" i="1"/>
  <c r="AN24" i="1"/>
  <c r="AJ19" i="1"/>
  <c r="BE21" i="1"/>
  <c r="BD19" i="1"/>
  <c r="C47" i="1"/>
  <c r="L38" i="1"/>
  <c r="AP7" i="1"/>
  <c r="BA16" i="1"/>
  <c r="AX24" i="1"/>
  <c r="V38" i="1"/>
  <c r="U38" i="1"/>
  <c r="BS7" i="1"/>
  <c r="AY7" i="1"/>
  <c r="AE7" i="1"/>
  <c r="J55" i="1"/>
  <c r="I55" i="1"/>
  <c r="BI7" i="1"/>
  <c r="AM24" i="1"/>
  <c r="BH24" i="1"/>
  <c r="AL21" i="1"/>
  <c r="BG24" i="1"/>
  <c r="AK21" i="1"/>
  <c r="BF21" i="1"/>
  <c r="E50" i="1"/>
  <c r="AI19" i="1"/>
  <c r="D47" i="1"/>
  <c r="AH16" i="1"/>
  <c r="BC19" i="1"/>
  <c r="AG16" i="1"/>
  <c r="BB16" i="1"/>
  <c r="K38" i="1"/>
  <c r="AO7" i="1"/>
  <c r="BR24" i="1"/>
  <c r="AD24" i="1"/>
  <c r="BQ24" i="1"/>
  <c r="AW24" i="1"/>
  <c r="AC24" i="1"/>
  <c r="BP21" i="1"/>
  <c r="AV21" i="1"/>
  <c r="AB21" i="1"/>
  <c r="BO21" i="1"/>
  <c r="AA21" i="1"/>
  <c r="H52" i="1"/>
  <c r="G52" i="1"/>
  <c r="F50" i="1"/>
  <c r="S24" i="1"/>
  <c r="R21" i="1"/>
  <c r="Q21" i="1"/>
  <c r="P19" i="1"/>
  <c r="O19" i="1"/>
  <c r="N16" i="1"/>
  <c r="M16" i="1"/>
  <c r="J24" i="1"/>
  <c r="I24" i="1"/>
  <c r="H21" i="1"/>
  <c r="G21" i="1"/>
  <c r="F19" i="1"/>
  <c r="E19" i="1"/>
  <c r="T24" i="1"/>
  <c r="D16" i="1"/>
  <c r="C16" i="1"/>
  <c r="U7" i="1"/>
  <c r="V7" i="1"/>
  <c r="K7" i="1"/>
  <c r="L7" i="1"/>
  <c r="BX4" i="1"/>
  <c r="D7" i="5"/>
  <c r="S9" i="2"/>
  <c r="C66" i="1"/>
  <c r="N8" i="2"/>
  <c r="AG34" i="1" s="1"/>
  <c r="B3" i="1"/>
  <c r="E7" i="5" l="1"/>
  <c r="T9" i="2"/>
  <c r="M66" i="1"/>
  <c r="E8" i="2"/>
  <c r="M3" i="1" s="1"/>
  <c r="AG3" i="1"/>
  <c r="I8" i="2"/>
  <c r="L8" i="2"/>
  <c r="M8" i="2"/>
  <c r="G8" i="2"/>
  <c r="W35" i="1"/>
  <c r="M35" i="1"/>
  <c r="C35" i="1"/>
  <c r="BK4" i="1"/>
  <c r="BA4" i="1"/>
  <c r="AQ4" i="1"/>
  <c r="AG4" i="1"/>
  <c r="W4" i="1"/>
  <c r="M4" i="1"/>
  <c r="K8" i="2"/>
  <c r="M34" i="1"/>
  <c r="B34" i="1"/>
  <c r="W34" i="1"/>
  <c r="BA3" i="1"/>
  <c r="BK3" i="1"/>
  <c r="F8" i="2"/>
  <c r="AQ3" i="1"/>
  <c r="H8" i="2"/>
  <c r="J8" i="2"/>
  <c r="W3" i="1"/>
  <c r="AG35" i="1"/>
  <c r="F7" i="5" l="1"/>
  <c r="U9" i="2"/>
  <c r="W66" i="1"/>
  <c r="O8" i="2"/>
  <c r="AQ34" i="1" s="1"/>
  <c r="AQ35" i="1"/>
  <c r="G7" i="5" l="1"/>
  <c r="V9" i="2"/>
  <c r="AG66" i="1"/>
  <c r="BA35" i="1"/>
  <c r="P8" i="2"/>
  <c r="BA34" i="1" s="1"/>
  <c r="H7" i="5" l="1"/>
  <c r="W9" i="2"/>
  <c r="AQ66" i="1"/>
  <c r="BK35" i="1"/>
  <c r="Q8" i="2"/>
  <c r="BK34" i="1" s="1"/>
  <c r="I7" i="5" l="1"/>
  <c r="X9" i="2"/>
  <c r="BA66" i="1"/>
  <c r="R8" i="2"/>
  <c r="B65" i="1" s="1"/>
  <c r="J7" i="5" l="1"/>
  <c r="Y9" i="2"/>
  <c r="Z9" i="2" s="1"/>
  <c r="AA9" i="2" s="1"/>
  <c r="AB9" i="2" s="1"/>
  <c r="AC9" i="2" s="1"/>
  <c r="AD9" i="2" s="1"/>
  <c r="AE9" i="2" s="1"/>
  <c r="AF9" i="2" s="1"/>
  <c r="AG9" i="2" s="1"/>
  <c r="AH9" i="2" s="1"/>
  <c r="AH8" i="2" s="1"/>
  <c r="BK66" i="1"/>
  <c r="S8" i="2"/>
  <c r="M65" i="1" s="1"/>
  <c r="K7" i="5" l="1"/>
  <c r="T8" i="2"/>
  <c r="W65" i="1" s="1"/>
  <c r="L7" i="5" l="1"/>
  <c r="U8" i="2"/>
  <c r="AG65" i="1" s="1"/>
  <c r="M7" i="5" l="1"/>
  <c r="V8" i="2"/>
  <c r="AQ65" i="1" s="1"/>
  <c r="N7" i="5" l="1"/>
  <c r="W8" i="2"/>
  <c r="BA65" i="1" s="1"/>
  <c r="O7" i="5" l="1"/>
  <c r="X8" i="2"/>
  <c r="BK65" i="1" s="1"/>
  <c r="P7" i="5" l="1"/>
  <c r="C97" i="1"/>
  <c r="Y8" i="2"/>
  <c r="B96" i="1" s="1"/>
  <c r="Q7" i="5" l="1"/>
  <c r="M97" i="1"/>
  <c r="Z8" i="2"/>
  <c r="M96" i="1" s="1"/>
  <c r="R7" i="5" l="1"/>
  <c r="W97" i="1"/>
  <c r="AA8" i="2"/>
  <c r="W96" i="1" s="1"/>
  <c r="S7" i="5" l="1"/>
  <c r="AG97" i="1"/>
  <c r="AB8" i="2"/>
  <c r="AG96" i="1" s="1"/>
  <c r="T7" i="5" l="1"/>
  <c r="AQ97" i="1"/>
  <c r="AC8" i="2"/>
  <c r="AQ96" i="1" s="1"/>
  <c r="U7" i="5" l="1"/>
  <c r="BA97" i="1"/>
  <c r="AD8" i="2"/>
  <c r="BA96" i="1" s="1"/>
  <c r="V7" i="5" l="1"/>
  <c r="BK97" i="1"/>
  <c r="AE8" i="2"/>
  <c r="BK96" i="1" s="1"/>
  <c r="W7" i="5" l="1"/>
  <c r="C128" i="1"/>
  <c r="AF8" i="2"/>
  <c r="B127" i="1" s="1"/>
  <c r="X7" i="5" l="1"/>
  <c r="M128" i="1"/>
  <c r="AG8" i="2"/>
  <c r="M127" i="1" s="1"/>
  <c r="Y7" i="5" l="1"/>
  <c r="W127" i="1"/>
  <c r="W128" i="1"/>
  <c r="Z7" i="5" l="1"/>
  <c r="AA7" i="5" l="1"/>
  <c r="AB7" i="5" l="1"/>
  <c r="AC7" i="5" l="1"/>
  <c r="AD7" i="5" l="1"/>
  <c r="AF7" i="5" l="1"/>
  <c r="AE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D2B5CCF6-475E-466D-893E-71AEC8574332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21" authorId="0" shapeId="0" xr:uid="{543D6F8C-2A00-406C-8AC5-7237B85AF61B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P5" authorId="0" shapeId="0" xr:uid="{2DE62F11-78E5-424D-A680-2E0A717A59A8}">
      <text>
        <r>
          <rPr>
            <b/>
            <sz val="9"/>
            <color indexed="81"/>
            <rFont val="Segoe UI"/>
            <family val="2"/>
          </rPr>
          <t xml:space="preserve">Selecione o nome desejado para exibir o relatório.
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<sst xmlns="http://schemas.openxmlformats.org/spreadsheetml/2006/main" count="407" uniqueCount="81">
  <si>
    <t>Semana 1</t>
  </si>
  <si>
    <t>21h</t>
  </si>
  <si>
    <t>22h</t>
  </si>
  <si>
    <t>23h</t>
  </si>
  <si>
    <t>0h</t>
  </si>
  <si>
    <t>1h</t>
  </si>
  <si>
    <t>2h</t>
  </si>
  <si>
    <t>3h</t>
  </si>
  <si>
    <t>4h</t>
  </si>
  <si>
    <t>5h</t>
  </si>
  <si>
    <t>6h</t>
  </si>
  <si>
    <t>7h</t>
  </si>
  <si>
    <t>8h</t>
  </si>
  <si>
    <t>9h</t>
  </si>
  <si>
    <t>10h</t>
  </si>
  <si>
    <t>11h</t>
  </si>
  <si>
    <t>12h</t>
  </si>
  <si>
    <t>13h</t>
  </si>
  <si>
    <t>14h</t>
  </si>
  <si>
    <t>15h</t>
  </si>
  <si>
    <t>16h</t>
  </si>
  <si>
    <t>17h</t>
  </si>
  <si>
    <t>18h</t>
  </si>
  <si>
    <t>19h</t>
  </si>
  <si>
    <t>20h</t>
  </si>
  <si>
    <t>Semana 2</t>
  </si>
  <si>
    <t>Semana 3</t>
  </si>
  <si>
    <t>Semana 4</t>
  </si>
  <si>
    <t>Semana 5</t>
  </si>
  <si>
    <t>08:00/17:00</t>
  </si>
  <si>
    <t>06:00/15:00</t>
  </si>
  <si>
    <t>Configuração Escala</t>
  </si>
  <si>
    <t>Vespertino</t>
  </si>
  <si>
    <t>10:00/19:00</t>
  </si>
  <si>
    <t>13:00/22:00</t>
  </si>
  <si>
    <t>EN/SA</t>
  </si>
  <si>
    <t xml:space="preserve"> Matutino</t>
  </si>
  <si>
    <t xml:space="preserve"> Noturno</t>
  </si>
  <si>
    <t>Funcionários</t>
  </si>
  <si>
    <t>Funcionários Férias</t>
  </si>
  <si>
    <t>Quantidade Turnos</t>
  </si>
  <si>
    <t xml:space="preserve">Feriados </t>
  </si>
  <si>
    <t>Feriados</t>
  </si>
  <si>
    <t>Renato</t>
  </si>
  <si>
    <t>Caio</t>
  </si>
  <si>
    <t>Rafael</t>
  </si>
  <si>
    <t>Henrique</t>
  </si>
  <si>
    <t>Danilo</t>
  </si>
  <si>
    <t>Folga</t>
  </si>
  <si>
    <t>Férias</t>
  </si>
  <si>
    <t>Lista Funcionários</t>
  </si>
  <si>
    <t>Fim Mês</t>
  </si>
  <si>
    <t>Último Dia</t>
  </si>
  <si>
    <t>T1</t>
  </si>
  <si>
    <t>T2</t>
  </si>
  <si>
    <t>T3</t>
  </si>
  <si>
    <t>Luciano</t>
  </si>
  <si>
    <t>Data</t>
  </si>
  <si>
    <t>Eduardo</t>
  </si>
  <si>
    <t>Gustavo</t>
  </si>
  <si>
    <t>Paulo</t>
  </si>
  <si>
    <t xml:space="preserve">Feriado </t>
  </si>
  <si>
    <t>Matutino</t>
  </si>
  <si>
    <t>Noturno</t>
  </si>
  <si>
    <t>Feriado</t>
  </si>
  <si>
    <t>Turno</t>
  </si>
  <si>
    <t>Dias Trabalhados</t>
  </si>
  <si>
    <t>Total Dias</t>
  </si>
  <si>
    <t>Diferença Não Trabalhados</t>
  </si>
  <si>
    <t>VA</t>
  </si>
  <si>
    <t>DO</t>
  </si>
  <si>
    <t>Turnos</t>
  </si>
  <si>
    <t>Configuração Escala Linear</t>
  </si>
  <si>
    <t>FE</t>
  </si>
  <si>
    <t>Roberta</t>
  </si>
  <si>
    <t>21h30m</t>
  </si>
  <si>
    <t>6h30m</t>
  </si>
  <si>
    <t>Horários</t>
  </si>
  <si>
    <t>21:30/06:30</t>
  </si>
  <si>
    <t>Paleta de Cores</t>
  </si>
  <si>
    <t>Referência Escala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</si>
</sst>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d/m;@"/>
  </numFmts>
  <fonts count="28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1"/>
      <name val="Aptos Display"/>
      <family val="2"/>
      <scheme val="major"/>
    </font>
    <font>
      <sz val="8"/>
      <name val="Arial"/>
      <family val="2"/>
    </font>
    <font>
      <sz val="7.5"/>
      <name val="Arial"/>
      <family val="2"/>
    </font>
    <font>
      <sz val="7"/>
      <name val="Arial"/>
      <family val="2"/>
    </font>
    <font>
      <b/>
      <sz val="8"/>
      <color theme="0"/>
      <name val="Arial"/>
      <family val="2"/>
    </font>
    <font>
      <sz val="10"/>
      <name val="Calisto MT"/>
      <family val="1"/>
    </font>
    <font>
      <sz val="10"/>
      <color theme="0"/>
      <name val="Calisto MT"/>
      <family val="1"/>
    </font>
    <font>
      <b/>
      <sz val="10"/>
      <color theme="0"/>
      <name val="Calisto MT"/>
      <family val="1"/>
    </font>
    <font>
      <sz val="11"/>
      <color theme="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sz val="24"/>
      <color theme="0"/>
      <name val="Aptos Narrow"/>
      <family val="2"/>
      <scheme val="minor"/>
    </font>
    <font>
      <sz val="24"/>
      <name val="Aptos Narrow"/>
      <family val="2"/>
      <scheme val="minor"/>
    </font>
    <font>
      <sz val="28"/>
      <color theme="0"/>
      <name val="Century Gothic"/>
      <family val="2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8"/>
      <color theme="0"/>
      <name val="Calisto MT"/>
      <family val="1"/>
    </font>
    <font>
      <b/>
      <sz val="14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8"/>
      <color theme="0"/>
      <name val="Century Gothic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indexed="60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94D7E"/>
        <bgColor indexed="64"/>
      </patternFill>
    </fill>
    <fill>
      <patternFill patternType="solid">
        <fgColor rgb="FFFF47B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2" tint="-9.9948118533890809E-2"/>
      </left>
      <right style="medium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medium">
        <color indexed="64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medium">
        <color indexed="64"/>
      </left>
      <right style="thin">
        <color theme="2" tint="-9.9948118533890809E-2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9.9948118533890809E-2"/>
      </left>
      <right style="medium">
        <color indexed="64"/>
      </right>
      <top/>
      <bottom style="thin">
        <color theme="2" tint="-9.9948118533890809E-2"/>
      </bottom>
      <diagonal/>
    </border>
    <border>
      <left style="medium">
        <color indexed="64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</cellStyleXfs>
  <cellXfs count="238">
    <xf numFmtId="0" fontId="0" fillId="0" borderId="0" xfId="0"/>
    <xf numFmtId="0" fontId="1" fillId="0" borderId="0" xfId="1"/>
    <xf numFmtId="0" fontId="7" fillId="3" borderId="2" xfId="2" applyFont="1" applyFill="1" applyBorder="1" applyAlignment="1">
      <alignment horizontal="center"/>
    </xf>
    <xf numFmtId="0" fontId="7" fillId="3" borderId="2" xfId="2" applyFont="1" applyFill="1" applyBorder="1"/>
    <xf numFmtId="0" fontId="9" fillId="4" borderId="12" xfId="1" applyFont="1" applyFill="1" applyBorder="1" applyAlignment="1">
      <alignment horizontal="center"/>
    </xf>
    <xf numFmtId="0" fontId="6" fillId="0" borderId="12" xfId="1" applyFont="1" applyBorder="1" applyAlignment="1">
      <alignment horizontal="center"/>
    </xf>
    <xf numFmtId="0" fontId="9" fillId="5" borderId="12" xfId="1" applyFont="1" applyFill="1" applyBorder="1" applyAlignment="1">
      <alignment horizontal="center"/>
    </xf>
    <xf numFmtId="0" fontId="6" fillId="0" borderId="4" xfId="1" applyFont="1" applyBorder="1" applyAlignment="1">
      <alignment horizontal="center"/>
    </xf>
    <xf numFmtId="0" fontId="3" fillId="0" borderId="0" xfId="1" applyFont="1" applyAlignment="1">
      <alignment vertical="center" textRotation="90"/>
    </xf>
    <xf numFmtId="0" fontId="3" fillId="0" borderId="0" xfId="1" applyFont="1" applyAlignment="1">
      <alignment horizontal="center"/>
    </xf>
    <xf numFmtId="0" fontId="6" fillId="0" borderId="0" xfId="1" applyFont="1"/>
    <xf numFmtId="0" fontId="3" fillId="0" borderId="0" xfId="1" applyFont="1" applyAlignment="1">
      <alignment vertical="center"/>
    </xf>
    <xf numFmtId="0" fontId="2" fillId="0" borderId="0" xfId="1" applyFont="1" applyAlignment="1">
      <alignment vertical="center"/>
    </xf>
    <xf numFmtId="0" fontId="3" fillId="0" borderId="0" xfId="1" applyFont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6" fillId="0" borderId="0" xfId="1" applyFont="1" applyAlignment="1">
      <alignment horizontal="center"/>
    </xf>
    <xf numFmtId="0" fontId="10" fillId="3" borderId="5" xfId="2" applyFont="1" applyFill="1" applyBorder="1" applyAlignment="1">
      <alignment vertical="center"/>
    </xf>
    <xf numFmtId="0" fontId="0" fillId="6" borderId="0" xfId="0" applyFill="1"/>
    <xf numFmtId="0" fontId="12" fillId="0" borderId="14" xfId="2" applyFont="1" applyBorder="1" applyAlignment="1">
      <alignment vertical="center"/>
    </xf>
    <xf numFmtId="0" fontId="11" fillId="0" borderId="14" xfId="2" applyFont="1" applyBorder="1" applyAlignment="1">
      <alignment vertical="center"/>
    </xf>
    <xf numFmtId="0" fontId="11" fillId="0" borderId="14" xfId="1" applyFont="1" applyBorder="1" applyAlignment="1">
      <alignment vertical="center"/>
    </xf>
    <xf numFmtId="0" fontId="11" fillId="0" borderId="14" xfId="2" applyFont="1" applyBorder="1" applyAlignment="1">
      <alignment horizontal="center" vertical="center"/>
    </xf>
    <xf numFmtId="0" fontId="4" fillId="0" borderId="14" xfId="1" applyFont="1" applyBorder="1" applyAlignment="1">
      <alignment vertical="center"/>
    </xf>
    <xf numFmtId="0" fontId="0" fillId="6" borderId="12" xfId="0" applyFill="1" applyBorder="1"/>
    <xf numFmtId="0" fontId="8" fillId="3" borderId="3" xfId="2" applyFont="1" applyFill="1" applyBorder="1" applyAlignment="1">
      <alignment horizontal="center"/>
    </xf>
    <xf numFmtId="0" fontId="11" fillId="0" borderId="36" xfId="1" applyFont="1" applyBorder="1" applyAlignment="1">
      <alignment vertical="center"/>
    </xf>
    <xf numFmtId="0" fontId="7" fillId="3" borderId="1" xfId="2" applyFont="1" applyFill="1" applyBorder="1" applyAlignment="1">
      <alignment horizontal="center"/>
    </xf>
    <xf numFmtId="0" fontId="11" fillId="0" borderId="39" xfId="2" applyFont="1" applyBorder="1" applyAlignment="1">
      <alignment vertical="center"/>
    </xf>
    <xf numFmtId="0" fontId="12" fillId="0" borderId="39" xfId="2" applyFont="1" applyBorder="1" applyAlignment="1">
      <alignment vertical="center"/>
    </xf>
    <xf numFmtId="0" fontId="10" fillId="3" borderId="12" xfId="2" applyFont="1" applyFill="1" applyBorder="1" applyAlignment="1">
      <alignment vertical="center"/>
    </xf>
    <xf numFmtId="0" fontId="10" fillId="3" borderId="13" xfId="2" applyFont="1" applyFill="1" applyBorder="1" applyAlignment="1">
      <alignment vertical="center"/>
    </xf>
    <xf numFmtId="0" fontId="10" fillId="3" borderId="4" xfId="2" applyFont="1" applyFill="1" applyBorder="1" applyAlignment="1">
      <alignment vertical="center"/>
    </xf>
    <xf numFmtId="0" fontId="10" fillId="3" borderId="6" xfId="2" applyFont="1" applyFill="1" applyBorder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165" fontId="0" fillId="0" borderId="28" xfId="0" applyNumberFormat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5" fillId="6" borderId="33" xfId="1" applyNumberFormat="1" applyFont="1" applyFill="1" applyBorder="1" applyAlignment="1">
      <alignment horizontal="center" vertical="center"/>
    </xf>
    <xf numFmtId="0" fontId="14" fillId="8" borderId="0" xfId="0" applyFont="1" applyFill="1" applyAlignment="1">
      <alignment horizontal="left" vertical="center"/>
    </xf>
    <xf numFmtId="0" fontId="17" fillId="8" borderId="0" xfId="0" applyFont="1" applyFill="1" applyAlignment="1">
      <alignment horizontal="left" vertical="center"/>
    </xf>
    <xf numFmtId="0" fontId="15" fillId="8" borderId="0" xfId="0" applyFont="1" applyFill="1" applyAlignment="1">
      <alignment horizontal="left" vertical="center"/>
    </xf>
    <xf numFmtId="0" fontId="15" fillId="8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left" vertical="center"/>
    </xf>
    <xf numFmtId="164" fontId="15" fillId="8" borderId="0" xfId="3" applyFont="1" applyFill="1" applyAlignment="1">
      <alignment horizontal="center" vertical="center"/>
    </xf>
    <xf numFmtId="0" fontId="1" fillId="6" borderId="0" xfId="1" applyFill="1"/>
    <xf numFmtId="0" fontId="3" fillId="6" borderId="0" xfId="1" applyFont="1" applyFill="1" applyAlignment="1">
      <alignment vertical="center" textRotation="90"/>
    </xf>
    <xf numFmtId="0" fontId="3" fillId="6" borderId="0" xfId="1" applyFont="1" applyFill="1" applyAlignment="1">
      <alignment horizontal="center"/>
    </xf>
    <xf numFmtId="0" fontId="3" fillId="6" borderId="0" xfId="1" applyFont="1" applyFill="1" applyAlignment="1">
      <alignment vertical="center"/>
    </xf>
    <xf numFmtId="0" fontId="6" fillId="6" borderId="0" xfId="1" applyFont="1" applyFill="1" applyAlignment="1">
      <alignment horizontal="center"/>
    </xf>
    <xf numFmtId="0" fontId="6" fillId="6" borderId="0" xfId="1" applyFont="1" applyFill="1"/>
    <xf numFmtId="0" fontId="2" fillId="6" borderId="0" xfId="1" applyFont="1" applyFill="1" applyAlignment="1">
      <alignment vertical="center"/>
    </xf>
    <xf numFmtId="0" fontId="3" fillId="6" borderId="0" xfId="1" applyFont="1" applyFill="1" applyAlignment="1">
      <alignment vertical="center" wrapText="1"/>
    </xf>
    <xf numFmtId="0" fontId="3" fillId="6" borderId="0" xfId="1" applyFont="1" applyFill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164" fontId="15" fillId="8" borderId="1" xfId="3" applyFont="1" applyFill="1" applyBorder="1" applyAlignment="1">
      <alignment horizontal="center" vertical="center"/>
    </xf>
    <xf numFmtId="0" fontId="17" fillId="8" borderId="2" xfId="0" applyFont="1" applyFill="1" applyBorder="1" applyAlignment="1">
      <alignment horizontal="left" vertical="center"/>
    </xf>
    <xf numFmtId="0" fontId="15" fillId="8" borderId="2" xfId="0" applyFont="1" applyFill="1" applyBorder="1" applyAlignment="1">
      <alignment horizontal="left" vertical="center"/>
    </xf>
    <xf numFmtId="164" fontId="15" fillId="8" borderId="2" xfId="3" applyFont="1" applyFill="1" applyBorder="1" applyAlignment="1">
      <alignment horizontal="center" vertical="center"/>
    </xf>
    <xf numFmtId="164" fontId="15" fillId="8" borderId="12" xfId="3" applyFont="1" applyFill="1" applyBorder="1" applyAlignment="1">
      <alignment horizontal="center" vertical="center"/>
    </xf>
    <xf numFmtId="164" fontId="15" fillId="8" borderId="0" xfId="3" applyFont="1" applyFill="1" applyBorder="1" applyAlignment="1">
      <alignment horizontal="center" vertical="center"/>
    </xf>
    <xf numFmtId="0" fontId="22" fillId="0" borderId="19" xfId="0" applyFont="1" applyBorder="1" applyAlignment="1">
      <alignment horizontal="center"/>
    </xf>
    <xf numFmtId="0" fontId="8" fillId="3" borderId="3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7" fillId="3" borderId="2" xfId="2" applyFont="1" applyFill="1" applyBorder="1" applyAlignment="1">
      <alignment vertical="center"/>
    </xf>
    <xf numFmtId="0" fontId="7" fillId="3" borderId="2" xfId="2" applyFont="1" applyFill="1" applyBorder="1" applyAlignment="1">
      <alignment horizontal="center" vertical="center"/>
    </xf>
    <xf numFmtId="0" fontId="19" fillId="8" borderId="21" xfId="0" applyFont="1" applyFill="1" applyBorder="1" applyAlignment="1">
      <alignment horizontal="center" vertical="center"/>
    </xf>
    <xf numFmtId="0" fontId="20" fillId="6" borderId="22" xfId="0" applyFont="1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19" fillId="8" borderId="22" xfId="0" applyFont="1" applyFill="1" applyBorder="1" applyAlignment="1">
      <alignment horizontal="center" vertical="center"/>
    </xf>
    <xf numFmtId="0" fontId="20" fillId="0" borderId="10" xfId="0" applyFont="1" applyBorder="1"/>
    <xf numFmtId="0" fontId="0" fillId="6" borderId="4" xfId="0" applyFill="1" applyBorder="1"/>
    <xf numFmtId="0" fontId="0" fillId="6" borderId="19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10" xfId="0" applyBorder="1"/>
    <xf numFmtId="0" fontId="20" fillId="0" borderId="22" xfId="0" applyFont="1" applyBorder="1"/>
    <xf numFmtId="0" fontId="20" fillId="6" borderId="22" xfId="0" applyFont="1" applyFill="1" applyBorder="1"/>
    <xf numFmtId="0" fontId="0" fillId="0" borderId="22" xfId="0" applyBorder="1"/>
    <xf numFmtId="0" fontId="0" fillId="6" borderId="13" xfId="0" applyFill="1" applyBorder="1"/>
    <xf numFmtId="0" fontId="0" fillId="6" borderId="5" xfId="0" applyFill="1" applyBorder="1"/>
    <xf numFmtId="0" fontId="0" fillId="6" borderId="6" xfId="0" applyFill="1" applyBorder="1"/>
    <xf numFmtId="0" fontId="0" fillId="0" borderId="3" xfId="0" applyBorder="1"/>
    <xf numFmtId="0" fontId="0" fillId="10" borderId="3" xfId="0" applyFill="1" applyBorder="1"/>
    <xf numFmtId="0" fontId="0" fillId="10" borderId="22" xfId="0" applyFill="1" applyBorder="1"/>
    <xf numFmtId="0" fontId="20" fillId="0" borderId="21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0" fillId="6" borderId="22" xfId="0" applyFill="1" applyBorder="1"/>
    <xf numFmtId="0" fontId="0" fillId="6" borderId="2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20" fillId="0" borderId="22" xfId="0" applyFont="1" applyBorder="1" applyAlignment="1">
      <alignment horizontal="center"/>
    </xf>
    <xf numFmtId="165" fontId="5" fillId="6" borderId="46" xfId="1" applyNumberFormat="1" applyFont="1" applyFill="1" applyBorder="1" applyAlignment="1">
      <alignment horizontal="center" vertical="center"/>
    </xf>
    <xf numFmtId="165" fontId="0" fillId="0" borderId="42" xfId="0" applyNumberForma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0" fontId="19" fillId="11" borderId="22" xfId="0" applyFont="1" applyFill="1" applyBorder="1" applyAlignment="1">
      <alignment horizontal="center"/>
    </xf>
    <xf numFmtId="0" fontId="19" fillId="12" borderId="22" xfId="0" applyFont="1" applyFill="1" applyBorder="1" applyAlignment="1">
      <alignment horizontal="center"/>
    </xf>
    <xf numFmtId="0" fontId="20" fillId="6" borderId="31" xfId="0" applyFont="1" applyFill="1" applyBorder="1" applyAlignment="1">
      <alignment horizontal="center"/>
    </xf>
    <xf numFmtId="0" fontId="7" fillId="3" borderId="3" xfId="2" applyFont="1" applyFill="1" applyBorder="1" applyAlignment="1">
      <alignment vertical="center"/>
    </xf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1" fillId="6" borderId="12" xfId="1" applyFill="1" applyBorder="1" applyAlignment="1">
      <alignment horizontal="center"/>
    </xf>
    <xf numFmtId="0" fontId="1" fillId="6" borderId="0" xfId="1" applyFill="1" applyAlignment="1">
      <alignment horizontal="center"/>
    </xf>
    <xf numFmtId="0" fontId="1" fillId="15" borderId="13" xfId="1" applyFill="1" applyBorder="1"/>
    <xf numFmtId="0" fontId="1" fillId="16" borderId="13" xfId="1" applyFill="1" applyBorder="1"/>
    <xf numFmtId="0" fontId="1" fillId="17" borderId="13" xfId="1" applyFill="1" applyBorder="1"/>
    <xf numFmtId="0" fontId="1" fillId="18" borderId="13" xfId="1" applyFill="1" applyBorder="1"/>
    <xf numFmtId="0" fontId="1" fillId="19" borderId="13" xfId="1" applyFill="1" applyBorder="1"/>
    <xf numFmtId="0" fontId="1" fillId="4" borderId="13" xfId="1" applyFill="1" applyBorder="1"/>
    <xf numFmtId="0" fontId="1" fillId="20" borderId="13" xfId="1" applyFill="1" applyBorder="1"/>
    <xf numFmtId="0" fontId="1" fillId="13" borderId="13" xfId="1" applyFill="1" applyBorder="1"/>
    <xf numFmtId="0" fontId="1" fillId="21" borderId="13" xfId="1" applyFill="1" applyBorder="1"/>
    <xf numFmtId="0" fontId="1" fillId="14" borderId="13" xfId="1" applyFill="1" applyBorder="1"/>
    <xf numFmtId="0" fontId="1" fillId="6" borderId="13" xfId="1" applyFill="1" applyBorder="1"/>
    <xf numFmtId="0" fontId="1" fillId="6" borderId="4" xfId="1" applyFill="1" applyBorder="1" applyAlignment="1">
      <alignment horizontal="center"/>
    </xf>
    <xf numFmtId="0" fontId="1" fillId="6" borderId="5" xfId="1" applyFill="1" applyBorder="1" applyAlignment="1">
      <alignment horizontal="center"/>
    </xf>
    <xf numFmtId="0" fontId="1" fillId="6" borderId="6" xfId="1" applyFill="1" applyBorder="1"/>
    <xf numFmtId="0" fontId="1" fillId="22" borderId="13" xfId="1" applyFill="1" applyBorder="1"/>
    <xf numFmtId="0" fontId="1" fillId="23" borderId="13" xfId="1" applyFill="1" applyBorder="1"/>
    <xf numFmtId="0" fontId="1" fillId="24" borderId="13" xfId="1" applyFill="1" applyBorder="1"/>
    <xf numFmtId="0" fontId="1" fillId="10" borderId="13" xfId="1" applyFill="1" applyBorder="1"/>
    <xf numFmtId="0" fontId="1" fillId="25" borderId="13" xfId="1" applyFill="1" applyBorder="1"/>
    <xf numFmtId="0" fontId="1" fillId="26" borderId="13" xfId="1" applyFill="1" applyBorder="1"/>
    <xf numFmtId="0" fontId="1" fillId="9" borderId="13" xfId="1" applyFill="1" applyBorder="1"/>
    <xf numFmtId="0" fontId="27" fillId="6" borderId="8" xfId="1" applyFont="1" applyFill="1" applyBorder="1" applyAlignment="1">
      <alignment horizontal="center"/>
    </xf>
    <xf numFmtId="0" fontId="27" fillId="6" borderId="9" xfId="1" applyFont="1" applyFill="1" applyBorder="1" applyAlignment="1">
      <alignment horizontal="center"/>
    </xf>
    <xf numFmtId="0" fontId="27" fillId="6" borderId="10" xfId="1" applyFont="1" applyFill="1" applyBorder="1"/>
    <xf numFmtId="0" fontId="2" fillId="2" borderId="12" xfId="1" applyFont="1" applyFill="1" applyBorder="1" applyAlignment="1">
      <alignment horizontal="center" vertical="center" textRotation="90"/>
    </xf>
    <xf numFmtId="0" fontId="11" fillId="0" borderId="5" xfId="1" applyFont="1" applyBorder="1" applyAlignment="1">
      <alignment vertical="center"/>
    </xf>
    <xf numFmtId="0" fontId="12" fillId="0" borderId="4" xfId="2" applyFont="1" applyBorder="1" applyAlignment="1">
      <alignment vertical="center"/>
    </xf>
    <xf numFmtId="0" fontId="11" fillId="0" borderId="6" xfId="1" applyFont="1" applyBorder="1" applyAlignment="1">
      <alignment vertical="center"/>
    </xf>
    <xf numFmtId="0" fontId="6" fillId="0" borderId="20" xfId="1" applyFont="1" applyBorder="1" applyAlignment="1">
      <alignment horizontal="center"/>
    </xf>
    <xf numFmtId="0" fontId="9" fillId="4" borderId="20" xfId="1" applyFont="1" applyFill="1" applyBorder="1" applyAlignment="1">
      <alignment horizontal="center"/>
    </xf>
    <xf numFmtId="0" fontId="9" fillId="5" borderId="20" xfId="1" applyFont="1" applyFill="1" applyBorder="1" applyAlignment="1">
      <alignment horizontal="center"/>
    </xf>
    <xf numFmtId="0" fontId="6" fillId="0" borderId="21" xfId="1" applyFont="1" applyBorder="1" applyAlignment="1">
      <alignment horizontal="center"/>
    </xf>
    <xf numFmtId="0" fontId="11" fillId="0" borderId="15" xfId="1" applyFont="1" applyBorder="1" applyAlignment="1">
      <alignment vertical="center"/>
    </xf>
    <xf numFmtId="0" fontId="11" fillId="0" borderId="37" xfId="1" applyFont="1" applyBorder="1" applyAlignment="1">
      <alignment vertical="center"/>
    </xf>
    <xf numFmtId="0" fontId="12" fillId="0" borderId="40" xfId="2" applyFont="1" applyBorder="1" applyAlignment="1">
      <alignment vertical="center"/>
    </xf>
    <xf numFmtId="0" fontId="11" fillId="0" borderId="0" xfId="1" applyFont="1" applyAlignment="1">
      <alignment vertical="center"/>
    </xf>
    <xf numFmtId="0" fontId="10" fillId="3" borderId="0" xfId="2" applyFont="1" applyFill="1" applyAlignment="1">
      <alignment vertical="center"/>
    </xf>
    <xf numFmtId="0" fontId="7" fillId="3" borderId="0" xfId="2" applyFont="1" applyFill="1" applyAlignment="1">
      <alignment vertical="center"/>
    </xf>
    <xf numFmtId="0" fontId="7" fillId="3" borderId="0" xfId="2" applyFont="1" applyFill="1"/>
    <xf numFmtId="0" fontId="12" fillId="0" borderId="12" xfId="2" applyFont="1" applyBorder="1" applyAlignment="1">
      <alignment vertical="center"/>
    </xf>
    <xf numFmtId="0" fontId="11" fillId="0" borderId="13" xfId="1" applyFont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0" fillId="6" borderId="9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0" fillId="0" borderId="19" xfId="0" applyFont="1" applyBorder="1" applyAlignment="1">
      <alignment horizontal="center"/>
    </xf>
    <xf numFmtId="0" fontId="20" fillId="10" borderId="1" xfId="0" applyFont="1" applyFill="1" applyBorder="1"/>
    <xf numFmtId="0" fontId="20" fillId="10" borderId="2" xfId="0" applyFont="1" applyFill="1" applyBorder="1"/>
    <xf numFmtId="0" fontId="20" fillId="10" borderId="3" xfId="0" applyFont="1" applyFill="1" applyBorder="1"/>
    <xf numFmtId="0" fontId="20" fillId="6" borderId="12" xfId="0" applyFont="1" applyFill="1" applyBorder="1"/>
    <xf numFmtId="0" fontId="20" fillId="6" borderId="0" xfId="0" applyFont="1" applyFill="1"/>
    <xf numFmtId="0" fontId="20" fillId="6" borderId="13" xfId="0" applyFont="1" applyFill="1" applyBorder="1"/>
    <xf numFmtId="0" fontId="20" fillId="10" borderId="12" xfId="0" applyFont="1" applyFill="1" applyBorder="1"/>
    <xf numFmtId="0" fontId="20" fillId="10" borderId="0" xfId="0" applyFont="1" applyFill="1"/>
    <xf numFmtId="0" fontId="20" fillId="10" borderId="13" xfId="0" applyFont="1" applyFill="1" applyBorder="1"/>
    <xf numFmtId="0" fontId="20" fillId="6" borderId="4" xfId="0" applyFont="1" applyFill="1" applyBorder="1"/>
    <xf numFmtId="0" fontId="20" fillId="6" borderId="5" xfId="0" applyFont="1" applyFill="1" applyBorder="1"/>
    <xf numFmtId="0" fontId="20" fillId="6" borderId="6" xfId="0" applyFont="1" applyFill="1" applyBorder="1"/>
    <xf numFmtId="0" fontId="19" fillId="8" borderId="8" xfId="0" applyFont="1" applyFill="1" applyBorder="1" applyAlignment="1">
      <alignment horizontal="center" vertical="center"/>
    </xf>
    <xf numFmtId="0" fontId="19" fillId="8" borderId="9" xfId="0" applyFont="1" applyFill="1" applyBorder="1" applyAlignment="1">
      <alignment horizontal="center" vertical="center"/>
    </xf>
    <xf numFmtId="0" fontId="24" fillId="9" borderId="8" xfId="1" applyFont="1" applyFill="1" applyBorder="1" applyAlignment="1">
      <alignment horizontal="center" vertical="center"/>
    </xf>
    <xf numFmtId="0" fontId="24" fillId="9" borderId="9" xfId="1" applyFont="1" applyFill="1" applyBorder="1" applyAlignment="1">
      <alignment horizontal="center" vertical="center"/>
    </xf>
    <xf numFmtId="0" fontId="24" fillId="9" borderId="10" xfId="1" applyFont="1" applyFill="1" applyBorder="1" applyAlignment="1">
      <alignment horizontal="center" vertical="center"/>
    </xf>
    <xf numFmtId="0" fontId="19" fillId="8" borderId="19" xfId="0" applyFont="1" applyFill="1" applyBorder="1" applyAlignment="1">
      <alignment horizontal="center" vertical="center"/>
    </xf>
    <xf numFmtId="0" fontId="19" fillId="8" borderId="20" xfId="0" applyFon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/>
    </xf>
    <xf numFmtId="14" fontId="0" fillId="6" borderId="9" xfId="0" applyNumberFormat="1" applyFill="1" applyBorder="1" applyAlignment="1">
      <alignment horizontal="center"/>
    </xf>
    <xf numFmtId="14" fontId="0" fillId="6" borderId="10" xfId="0" applyNumberForma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11" fillId="0" borderId="40" xfId="1" applyFont="1" applyBorder="1" applyAlignment="1">
      <alignment horizontal="center" vertical="center"/>
    </xf>
    <xf numFmtId="0" fontId="11" fillId="0" borderId="41" xfId="1" applyFont="1" applyBorder="1" applyAlignment="1">
      <alignment horizontal="center" vertical="center"/>
    </xf>
    <xf numFmtId="0" fontId="11" fillId="0" borderId="49" xfId="1" applyFont="1" applyBorder="1" applyAlignment="1">
      <alignment horizontal="center" vertical="center"/>
    </xf>
    <xf numFmtId="0" fontId="11" fillId="0" borderId="15" xfId="1" applyFont="1" applyBorder="1" applyAlignment="1">
      <alignment horizontal="center" vertical="center"/>
    </xf>
    <xf numFmtId="0" fontId="11" fillId="0" borderId="16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50" xfId="1" applyFont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1" fillId="0" borderId="5" xfId="1" applyFont="1" applyBorder="1" applyAlignment="1">
      <alignment horizontal="center" vertical="center"/>
    </xf>
    <xf numFmtId="0" fontId="21" fillId="0" borderId="37" xfId="1" applyFont="1" applyBorder="1" applyAlignment="1">
      <alignment horizontal="center" vertical="center" wrapText="1"/>
    </xf>
    <xf numFmtId="0" fontId="21" fillId="0" borderId="38" xfId="1" applyFont="1" applyBorder="1" applyAlignment="1">
      <alignment horizontal="center" vertical="center" wrapText="1"/>
    </xf>
    <xf numFmtId="0" fontId="21" fillId="0" borderId="48" xfId="1" applyFont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vertical="center" textRotation="90"/>
    </xf>
    <xf numFmtId="0" fontId="2" fillId="2" borderId="0" xfId="1" applyFont="1" applyFill="1" applyAlignment="1">
      <alignment horizontal="center" vertical="center" textRotation="90"/>
    </xf>
    <xf numFmtId="0" fontId="3" fillId="0" borderId="8" xfId="1" applyFont="1" applyBorder="1" applyAlignment="1">
      <alignment horizontal="center"/>
    </xf>
    <xf numFmtId="0" fontId="3" fillId="0" borderId="9" xfId="1" applyFon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1" fillId="6" borderId="19" xfId="1" applyFill="1" applyBorder="1" applyAlignment="1">
      <alignment horizontal="center"/>
    </xf>
    <xf numFmtId="0" fontId="1" fillId="6" borderId="20" xfId="1" applyFill="1" applyBorder="1" applyAlignment="1">
      <alignment horizontal="center"/>
    </xf>
    <xf numFmtId="0" fontId="1" fillId="6" borderId="1" xfId="1" applyFill="1" applyBorder="1" applyAlignment="1">
      <alignment horizontal="center"/>
    </xf>
    <xf numFmtId="0" fontId="1" fillId="6" borderId="12" xfId="1" applyFill="1" applyBorder="1" applyAlignment="1">
      <alignment horizontal="center"/>
    </xf>
    <xf numFmtId="0" fontId="2" fillId="2" borderId="7" xfId="1" applyFont="1" applyFill="1" applyBorder="1" applyAlignment="1">
      <alignment horizontal="center" vertical="center" textRotation="90"/>
    </xf>
    <xf numFmtId="0" fontId="2" fillId="2" borderId="11" xfId="1" applyFont="1" applyFill="1" applyBorder="1" applyAlignment="1">
      <alignment horizontal="center" vertical="center" textRotation="90"/>
    </xf>
    <xf numFmtId="0" fontId="2" fillId="2" borderId="18" xfId="1" applyFont="1" applyFill="1" applyBorder="1" applyAlignment="1">
      <alignment horizontal="center" vertical="center" textRotation="90"/>
    </xf>
    <xf numFmtId="14" fontId="3" fillId="0" borderId="8" xfId="1" applyNumberFormat="1" applyFont="1" applyBorder="1" applyAlignment="1">
      <alignment horizontal="center"/>
    </xf>
    <xf numFmtId="14" fontId="3" fillId="0" borderId="9" xfId="1" applyNumberFormat="1" applyFont="1" applyBorder="1" applyAlignment="1">
      <alignment horizontal="center"/>
    </xf>
    <xf numFmtId="14" fontId="3" fillId="0" borderId="10" xfId="1" applyNumberFormat="1" applyFont="1" applyBorder="1" applyAlignment="1">
      <alignment horizontal="center"/>
    </xf>
    <xf numFmtId="0" fontId="2" fillId="2" borderId="19" xfId="1" applyFont="1" applyFill="1" applyBorder="1" applyAlignment="1">
      <alignment horizontal="center" vertical="center" textRotation="90"/>
    </xf>
    <xf numFmtId="0" fontId="2" fillId="2" borderId="20" xfId="1" applyFont="1" applyFill="1" applyBorder="1" applyAlignment="1">
      <alignment horizontal="center" vertical="center" textRotation="90"/>
    </xf>
    <xf numFmtId="0" fontId="2" fillId="2" borderId="21" xfId="1" applyFont="1" applyFill="1" applyBorder="1" applyAlignment="1">
      <alignment horizontal="center" vertical="center" textRotation="90"/>
    </xf>
    <xf numFmtId="0" fontId="19" fillId="8" borderId="19" xfId="0" applyFont="1" applyFill="1" applyBorder="1" applyAlignment="1" applyProtection="1">
      <alignment horizontal="center" vertical="center"/>
      <protection locked="0"/>
    </xf>
    <xf numFmtId="0" fontId="19" fillId="8" borderId="21" xfId="0" applyFont="1" applyFill="1" applyBorder="1" applyAlignment="1" applyProtection="1">
      <alignment horizontal="center" vertical="center"/>
      <protection locked="0"/>
    </xf>
    <xf numFmtId="0" fontId="19" fillId="8" borderId="20" xfId="0" applyFont="1" applyFill="1" applyBorder="1" applyAlignment="1" applyProtection="1">
      <alignment horizontal="center" vertical="center"/>
      <protection locked="0"/>
    </xf>
    <xf numFmtId="0" fontId="20" fillId="0" borderId="8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3" fillId="7" borderId="12" xfId="0" applyFont="1" applyFill="1" applyBorder="1" applyAlignment="1">
      <alignment horizontal="center" vertical="center"/>
    </xf>
    <xf numFmtId="0" fontId="23" fillId="7" borderId="13" xfId="0" applyFont="1" applyFill="1" applyBorder="1" applyAlignment="1">
      <alignment horizontal="center" vertical="center"/>
    </xf>
    <xf numFmtId="0" fontId="23" fillId="7" borderId="4" xfId="0" applyFont="1" applyFill="1" applyBorder="1" applyAlignment="1">
      <alignment horizontal="center" vertical="center"/>
    </xf>
    <xf numFmtId="0" fontId="23" fillId="7" borderId="6" xfId="0" applyFont="1" applyFill="1" applyBorder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7" borderId="2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0" fillId="6" borderId="33" xfId="0" applyFont="1" applyFill="1" applyBorder="1" applyAlignment="1">
      <alignment horizontal="center"/>
    </xf>
    <xf numFmtId="0" fontId="20" fillId="6" borderId="28" xfId="0" applyFont="1" applyFill="1" applyBorder="1" applyAlignment="1">
      <alignment horizontal="center"/>
    </xf>
    <xf numFmtId="0" fontId="20" fillId="6" borderId="30" xfId="0" applyFont="1" applyFill="1" applyBorder="1" applyAlignment="1">
      <alignment horizontal="center"/>
    </xf>
    <xf numFmtId="0" fontId="20" fillId="6" borderId="34" xfId="0" applyFont="1" applyFill="1" applyBorder="1" applyAlignment="1">
      <alignment horizontal="center"/>
    </xf>
    <xf numFmtId="0" fontId="20" fillId="6" borderId="23" xfId="0" applyFont="1" applyFill="1" applyBorder="1" applyAlignment="1">
      <alignment horizontal="center"/>
    </xf>
    <xf numFmtId="0" fontId="20" fillId="6" borderId="35" xfId="0" applyFont="1" applyFill="1" applyBorder="1" applyAlignment="1">
      <alignment horizontal="center"/>
    </xf>
    <xf numFmtId="0" fontId="20" fillId="6" borderId="32" xfId="0" applyFont="1" applyFill="1" applyBorder="1" applyAlignment="1">
      <alignment horizontal="center"/>
    </xf>
    <xf numFmtId="0" fontId="0" fillId="6" borderId="47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6" borderId="45" xfId="0" applyFill="1" applyBorder="1" applyAlignment="1">
      <alignment horizontal="center"/>
    </xf>
    <xf numFmtId="14" fontId="0" fillId="6" borderId="12" xfId="0" applyNumberFormat="1" applyFill="1" applyBorder="1" applyAlignment="1" applyProtection="1">
      <alignment horizontal="center"/>
    </xf>
    <xf numFmtId="14" fontId="0" fillId="6" borderId="0" xfId="0" applyNumberFormat="1" applyFill="1" applyAlignment="1" applyProtection="1">
      <alignment horizontal="center"/>
    </xf>
    <xf numFmtId="14" fontId="0" fillId="6" borderId="13" xfId="0" applyNumberFormat="1" applyFill="1" applyBorder="1" applyAlignment="1" applyProtection="1">
      <alignment horizontal="center"/>
    </xf>
  </cellXfs>
  <cellStyles count="5">
    <cellStyle name="Moeda" xfId="3" builtinId="4"/>
    <cellStyle name="Moeda 2" xfId="4" xr:uid="{2DD5B8DE-B676-4EF8-8C46-D3F497757F8D}"/>
    <cellStyle name="Normal" xfId="0" builtinId="0"/>
    <cellStyle name="Normal 2" xfId="2" xr:uid="{26F07A6D-0713-460A-B5EE-7689C3C12612}"/>
    <cellStyle name="Normal 3" xfId="1" xr:uid="{64F7AC15-0E8B-48A2-AE83-C2F9A177BDFB}"/>
  </cellStyles>
  <dxfs count="9526"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fgColor rgb="FF7030A0"/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fgColor rgb="FF7030A0"/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fgColor rgb="FF7030A0"/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fgColor rgb="FF7030A0"/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fgColor rgb="FF7030A0"/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fgColor rgb="FF7030A0"/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fgColor rgb="FF7030A0"/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rgb="FFF94D7E"/>
        </patternFill>
      </fill>
    </dxf>
    <dxf>
      <font>
        <b/>
        <i val="0"/>
        <color theme="0"/>
      </font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theme="2" tint="-0.24994659260841701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4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3" tint="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ont>
        <b/>
        <i val="0"/>
        <color theme="0"/>
      </font>
      <fill>
        <patternFill>
          <bgColor rgb="FF0091FE"/>
        </patternFill>
      </fill>
    </dxf>
    <dxf>
      <font>
        <b/>
        <i val="0"/>
        <color theme="0"/>
      </font>
      <fill>
        <patternFill>
          <bgColor rgb="FFE7601D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4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3" tint="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ont>
        <b/>
        <i val="0"/>
        <color theme="0"/>
      </font>
      <fill>
        <patternFill>
          <bgColor rgb="FF0091FE"/>
        </patternFill>
      </fill>
    </dxf>
    <dxf>
      <font>
        <b/>
        <i val="0"/>
        <color theme="0"/>
      </font>
      <fill>
        <patternFill>
          <bgColor rgb="FFE7601D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theme="4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3" tint="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ont>
        <b/>
        <i val="0"/>
        <color theme="0"/>
      </font>
      <fill>
        <patternFill>
          <bgColor rgb="FF0091FE"/>
        </patternFill>
      </fill>
    </dxf>
    <dxf>
      <font>
        <b/>
        <i val="0"/>
        <color theme="0"/>
      </font>
      <fill>
        <patternFill>
          <bgColor rgb="FFE7601D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9200"/>
        </patternFill>
      </fill>
    </dxf>
    <dxf>
      <font>
        <b/>
        <i val="0"/>
        <color theme="0"/>
      </font>
      <fill>
        <patternFill>
          <bgColor rgb="FF631EA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fgColor rgb="FF7030A0"/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fgColor rgb="FF7030A0"/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fgColor rgb="FF7030A0"/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fgColor rgb="FF7030A0"/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 patternType="solid">
          <bgColor rgb="FF109CB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BCB8"/>
        </patternFill>
      </fill>
    </dxf>
    <dxf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rgb="FFFF9900"/>
        </patternFill>
      </fill>
    </dxf>
    <dxf>
      <font>
        <b/>
        <i val="0"/>
        <color theme="0"/>
      </font>
      <fill>
        <patternFill patternType="solid">
          <bgColor rgb="FF0066FF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rgb="FFCC0000"/>
        </patternFill>
      </fill>
    </dxf>
    <dxf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631EAE"/>
      <color rgb="FF9966FF"/>
      <color rgb="FFC09200"/>
      <color rgb="FFFF47B0"/>
      <color rgb="FFF94D7E"/>
      <color rgb="FFFF66CC"/>
      <color rgb="FF6666FF"/>
      <color rgb="FF9A2D22"/>
      <color rgb="FFFFCC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Dashboard Escala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6912900321186172E-2"/>
          <c:y val="0.1140903209584226"/>
          <c:w val="0.84724731934105513"/>
          <c:h val="0.64774820350450912"/>
        </c:manualLayout>
      </c:layout>
      <c:barChart>
        <c:barDir val="col"/>
        <c:grouping val="clustered"/>
        <c:varyColors val="0"/>
        <c:ser>
          <c:idx val="0"/>
          <c:order val="0"/>
          <c:tx>
            <c:v>Funcionários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numRef>
              <c:f>Dashboard!$F$6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Dashboard!$B$6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12-4C34-BA9F-989592DCF185}"/>
            </c:ext>
          </c:extLst>
        </c:ser>
        <c:ser>
          <c:idx val="1"/>
          <c:order val="1"/>
          <c:tx>
            <c:v>Férias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numRef>
              <c:f>Dashboard!$F$6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Dashboard!$F$6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12-4C34-BA9F-989592DCF185}"/>
            </c:ext>
          </c:extLst>
        </c:ser>
        <c:ser>
          <c:idx val="2"/>
          <c:order val="2"/>
          <c:tx>
            <c:v>Turnos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val>
            <c:numRef>
              <c:f>Dashboard!$J$6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12-4C34-BA9F-989592DCF185}"/>
            </c:ext>
          </c:extLst>
        </c:ser>
        <c:ser>
          <c:idx val="3"/>
          <c:order val="3"/>
          <c:tx>
            <c:v>Feriados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Dashboard!$N$6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A3-4558-AE77-178C9F7AAF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52412016"/>
        <c:axId val="34721968"/>
      </c:barChart>
      <c:catAx>
        <c:axId val="155241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21968"/>
        <c:crosses val="autoZero"/>
        <c:auto val="1"/>
        <c:lblAlgn val="ctr"/>
        <c:lblOffset val="100"/>
        <c:noMultiLvlLbl val="0"/>
      </c:catAx>
      <c:valAx>
        <c:axId val="347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241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" t="0.78740157499999996" header="0.31496062000000002" footer="0.31496062000000002"/>
    <c:pageSetup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63133172425863"/>
          <c:y val="3.05679470404300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4975445129048401"/>
          <c:y val="8.3274896407267429E-2"/>
          <c:w val="0.47288203096500753"/>
          <c:h val="0.79239051045034381"/>
        </c:manualLayout>
      </c:layout>
      <c:pieChart>
        <c:varyColors val="1"/>
        <c:ser>
          <c:idx val="0"/>
          <c:order val="0"/>
          <c:tx>
            <c:v>Dashboard Escala</c:v>
          </c:tx>
          <c:dPt>
            <c:idx val="0"/>
            <c:bubble3D val="0"/>
            <c:explosion val="9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60A7-48FA-AC57-855C7FB8B6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(Dashboard!$B$5,Dashboard!$F$5,Dashboard!$J$5,Dashboard!$N$5)</c:f>
              <c:strCache>
                <c:ptCount val="4"/>
                <c:pt idx="0">
                  <c:v>Funcionários</c:v>
                </c:pt>
                <c:pt idx="1">
                  <c:v>Funcionários Férias</c:v>
                </c:pt>
                <c:pt idx="2">
                  <c:v>Quantidade Turnos</c:v>
                </c:pt>
                <c:pt idx="3">
                  <c:v>Feriados </c:v>
                </c:pt>
              </c:strCache>
            </c:strRef>
          </c:cat>
          <c:val>
            <c:numRef>
              <c:f>(Dashboard!$B$6,Dashboard!$F$6,Dashboard!$J$6,Dashboard!$N$6)</c:f>
              <c:numCache>
                <c:formatCode>General</c:formatCode>
                <c:ptCount val="4"/>
                <c:pt idx="0">
                  <c:v>10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60A7-48FA-AC57-855C7FB8B6B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171450</xdr:rowOff>
    </xdr:from>
    <xdr:ext cx="3886200" cy="53258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2132B3-B47B-3118-AD3C-C83167528C2A}"/>
            </a:ext>
          </a:extLst>
        </xdr:cNvPr>
        <xdr:cNvSpPr txBox="1"/>
      </xdr:nvSpPr>
      <xdr:spPr>
        <a:xfrm>
          <a:off x="171450" y="171450"/>
          <a:ext cx="3886200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800" b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</xdr:txBody>
    </xdr:sp>
    <xdr:clientData/>
  </xdr:oneCellAnchor>
  <xdr:twoCellAnchor editAs="oneCell">
    <xdr:from>
      <xdr:col>30</xdr:col>
      <xdr:colOff>352424</xdr:colOff>
      <xdr:row>0</xdr:row>
      <xdr:rowOff>476251</xdr:rowOff>
    </xdr:from>
    <xdr:to>
      <xdr:col>35</xdr:col>
      <xdr:colOff>638677</xdr:colOff>
      <xdr:row>1</xdr:row>
      <xdr:rowOff>498213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69C969-4B0E-4394-B164-DA7E197E0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61143" y="476251"/>
          <a:ext cx="2810378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71437</xdr:colOff>
      <xdr:row>1</xdr:row>
      <xdr:rowOff>492919</xdr:rowOff>
    </xdr:from>
    <xdr:to>
      <xdr:col>1</xdr:col>
      <xdr:colOff>500061</xdr:colOff>
      <xdr:row>1</xdr:row>
      <xdr:rowOff>897731</xdr:rowOff>
    </xdr:to>
    <xdr:sp macro="[0]!Módulo12.AdicionarTurno" textlink="">
      <xdr:nvSpPr>
        <xdr:cNvPr id="12" name="Retângulo: Cantos Arredondados 11" descr="Botão que adiciona um novo turno.">
          <a:extLst>
            <a:ext uri="{FF2B5EF4-FFF2-40B4-BE49-F238E27FC236}">
              <a16:creationId xmlns:a16="http://schemas.microsoft.com/office/drawing/2014/main" id="{34D49FE7-F2F5-442D-BDA8-818E29391851}"/>
            </a:ext>
          </a:extLst>
        </xdr:cNvPr>
        <xdr:cNvSpPr/>
      </xdr:nvSpPr>
      <xdr:spPr>
        <a:xfrm>
          <a:off x="71437" y="1266825"/>
          <a:ext cx="1309687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Turnos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35718</xdr:colOff>
      <xdr:row>1</xdr:row>
      <xdr:rowOff>500062</xdr:rowOff>
    </xdr:from>
    <xdr:to>
      <xdr:col>4</xdr:col>
      <xdr:colOff>357186</xdr:colOff>
      <xdr:row>1</xdr:row>
      <xdr:rowOff>904874</xdr:rowOff>
    </xdr:to>
    <xdr:sp macro="[0]!Feri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01C5287-EC1B-4A76-A8D2-D264DCA477FC}"/>
            </a:ext>
          </a:extLst>
        </xdr:cNvPr>
        <xdr:cNvSpPr/>
      </xdr:nvSpPr>
      <xdr:spPr>
        <a:xfrm>
          <a:off x="1440656" y="1273968"/>
          <a:ext cx="1297780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Férias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38100</xdr:colOff>
      <xdr:row>1</xdr:row>
      <xdr:rowOff>500061</xdr:rowOff>
    </xdr:from>
    <xdr:to>
      <xdr:col>8</xdr:col>
      <xdr:colOff>312209</xdr:colOff>
      <xdr:row>1</xdr:row>
      <xdr:rowOff>904873</xdr:rowOff>
    </xdr:to>
    <xdr:sp macro="[0]!LimparEscal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71CA448-2E86-4182-AC66-E4E316F50900}"/>
            </a:ext>
          </a:extLst>
        </xdr:cNvPr>
        <xdr:cNvSpPr/>
      </xdr:nvSpPr>
      <xdr:spPr>
        <a:xfrm>
          <a:off x="2800350" y="1273967"/>
          <a:ext cx="1524265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Limpar Escala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392909</xdr:colOff>
      <xdr:row>1</xdr:row>
      <xdr:rowOff>500063</xdr:rowOff>
    </xdr:from>
    <xdr:to>
      <xdr:col>12</xdr:col>
      <xdr:colOff>95252</xdr:colOff>
      <xdr:row>1</xdr:row>
      <xdr:rowOff>904875</xdr:rowOff>
    </xdr:to>
    <xdr:sp macro="[0]!Imprimi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B7C0B2F-1A51-468C-AD66-738906281737}"/>
            </a:ext>
          </a:extLst>
        </xdr:cNvPr>
        <xdr:cNvSpPr/>
      </xdr:nvSpPr>
      <xdr:spPr>
        <a:xfrm>
          <a:off x="4405315" y="1273969"/>
          <a:ext cx="1512093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Imprimir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166688</xdr:colOff>
      <xdr:row>1</xdr:row>
      <xdr:rowOff>488157</xdr:rowOff>
    </xdr:from>
    <xdr:to>
      <xdr:col>15</xdr:col>
      <xdr:colOff>369094</xdr:colOff>
      <xdr:row>1</xdr:row>
      <xdr:rowOff>892969</xdr:rowOff>
    </xdr:to>
    <xdr:sp macro="[0]!Dashboard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B0D0AB94-1668-4152-98E8-29AAE79C5DE1}"/>
            </a:ext>
          </a:extLst>
        </xdr:cNvPr>
        <xdr:cNvSpPr/>
      </xdr:nvSpPr>
      <xdr:spPr>
        <a:xfrm>
          <a:off x="5988844" y="1262063"/>
          <a:ext cx="1559719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Dashboard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440531</xdr:colOff>
      <xdr:row>1</xdr:row>
      <xdr:rowOff>500062</xdr:rowOff>
    </xdr:from>
    <xdr:to>
      <xdr:col>20</xdr:col>
      <xdr:colOff>107156</xdr:colOff>
      <xdr:row>1</xdr:row>
      <xdr:rowOff>904874</xdr:rowOff>
    </xdr:to>
    <xdr:sp macro="[0]!Configura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F9EF9EE8-56D3-47A8-B5E2-61087B42E9F9}"/>
            </a:ext>
          </a:extLst>
        </xdr:cNvPr>
        <xdr:cNvSpPr/>
      </xdr:nvSpPr>
      <xdr:spPr>
        <a:xfrm>
          <a:off x="7620000" y="1273968"/>
          <a:ext cx="1535906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Configuração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83345</xdr:colOff>
      <xdr:row>1</xdr:row>
      <xdr:rowOff>23813</xdr:rowOff>
    </xdr:from>
    <xdr:to>
      <xdr:col>2</xdr:col>
      <xdr:colOff>214313</xdr:colOff>
      <xdr:row>1</xdr:row>
      <xdr:rowOff>428625</xdr:rowOff>
    </xdr:to>
    <xdr:sp macro="[0]!AdicionarFuncionar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7850311-C774-4E1A-9031-9CD35B88A1C8}"/>
            </a:ext>
          </a:extLst>
        </xdr:cNvPr>
        <xdr:cNvSpPr/>
      </xdr:nvSpPr>
      <xdr:spPr>
        <a:xfrm>
          <a:off x="83345" y="797719"/>
          <a:ext cx="1535906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Novo Funcionário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285750</xdr:colOff>
      <xdr:row>1</xdr:row>
      <xdr:rowOff>23811</xdr:rowOff>
    </xdr:from>
    <xdr:to>
      <xdr:col>6</xdr:col>
      <xdr:colOff>333375</xdr:colOff>
      <xdr:row>1</xdr:row>
      <xdr:rowOff>428623</xdr:rowOff>
    </xdr:to>
    <xdr:sp macro="[0]!DeletarFuncionari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8609F02-687A-4B70-A7AF-63821E91AE5D}"/>
            </a:ext>
          </a:extLst>
        </xdr:cNvPr>
        <xdr:cNvSpPr/>
      </xdr:nvSpPr>
      <xdr:spPr>
        <a:xfrm>
          <a:off x="1690688" y="797717"/>
          <a:ext cx="1750218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Deletar Funcionário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114300</xdr:rowOff>
    </xdr:from>
    <xdr:ext cx="2743200" cy="53258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5" y="114300"/>
          <a:ext cx="2743200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800" b="0">
              <a:solidFill>
                <a:schemeClr val="bg1"/>
              </a:solidFill>
              <a:latin typeface="Century Gothic" panose="020B0502020202020204" pitchFamily="34" charset="0"/>
            </a:rPr>
            <a:t>Escala Linear</a:t>
          </a:r>
        </a:p>
      </xdr:txBody>
    </xdr:sp>
    <xdr:clientData/>
  </xdr:oneCellAnchor>
  <xdr:twoCellAnchor editAs="oneCell">
    <xdr:from>
      <xdr:col>57</xdr:col>
      <xdr:colOff>40264</xdr:colOff>
      <xdr:row>0</xdr:row>
      <xdr:rowOff>228601</xdr:rowOff>
    </xdr:from>
    <xdr:to>
      <xdr:col>74</xdr:col>
      <xdr:colOff>104775</xdr:colOff>
      <xdr:row>1</xdr:row>
      <xdr:rowOff>466725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1239" y="228601"/>
          <a:ext cx="2093336" cy="62864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66675</xdr:colOff>
      <xdr:row>1</xdr:row>
      <xdr:rowOff>352426</xdr:rowOff>
    </xdr:from>
    <xdr:to>
      <xdr:col>8</xdr:col>
      <xdr:colOff>38100</xdr:colOff>
      <xdr:row>1</xdr:row>
      <xdr:rowOff>638176</xdr:rowOff>
    </xdr:to>
    <xdr:sp macro="[0]!Configur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AD86D8B1-199B-4020-8C0B-58E59A22F51E}"/>
            </a:ext>
          </a:extLst>
        </xdr:cNvPr>
        <xdr:cNvSpPr/>
      </xdr:nvSpPr>
      <xdr:spPr>
        <a:xfrm>
          <a:off x="66675" y="742951"/>
          <a:ext cx="1219200" cy="285750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Configuração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76201</xdr:colOff>
      <xdr:row>1</xdr:row>
      <xdr:rowOff>352425</xdr:rowOff>
    </xdr:from>
    <xdr:to>
      <xdr:col>17</xdr:col>
      <xdr:colOff>85725</xdr:colOff>
      <xdr:row>1</xdr:row>
      <xdr:rowOff>657225</xdr:rowOff>
    </xdr:to>
    <xdr:sp macro="[0]!Imprimir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331F1367-9E36-403D-B5FE-CBD2B34954E5}"/>
            </a:ext>
          </a:extLst>
        </xdr:cNvPr>
        <xdr:cNvSpPr/>
      </xdr:nvSpPr>
      <xdr:spPr>
        <a:xfrm>
          <a:off x="1543051" y="742950"/>
          <a:ext cx="1219199" cy="304800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Imprimir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119062</xdr:colOff>
      <xdr:row>0</xdr:row>
      <xdr:rowOff>250031</xdr:rowOff>
    </xdr:from>
    <xdr:ext cx="5172605" cy="53258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9062" y="250031"/>
          <a:ext cx="5172605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800" b="0">
              <a:solidFill>
                <a:schemeClr val="bg1"/>
              </a:solidFill>
              <a:latin typeface="Century Gothic" panose="020B0502020202020204" pitchFamily="34" charset="0"/>
            </a:rPr>
            <a:t>Configuração Escala Linear</a:t>
          </a:r>
        </a:p>
      </xdr:txBody>
    </xdr:sp>
    <xdr:clientData/>
  </xdr:oneCellAnchor>
  <xdr:twoCellAnchor editAs="oneCell">
    <xdr:from>
      <xdr:col>29</xdr:col>
      <xdr:colOff>2099</xdr:colOff>
      <xdr:row>0</xdr:row>
      <xdr:rowOff>485507</xdr:rowOff>
    </xdr:from>
    <xdr:to>
      <xdr:col>34</xdr:col>
      <xdr:colOff>185693</xdr:colOff>
      <xdr:row>1</xdr:row>
      <xdr:rowOff>525195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2599" y="485507"/>
          <a:ext cx="2829428" cy="7911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95248</xdr:colOff>
      <xdr:row>1</xdr:row>
      <xdr:rowOff>583406</xdr:rowOff>
    </xdr:from>
    <xdr:to>
      <xdr:col>2</xdr:col>
      <xdr:colOff>107156</xdr:colOff>
      <xdr:row>1</xdr:row>
      <xdr:rowOff>988218</xdr:rowOff>
    </xdr:to>
    <xdr:sp macro="[0]!AdicionarHorarioLis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393A15F-8D18-0A11-D373-522DEE8B8CCE}"/>
            </a:ext>
          </a:extLst>
        </xdr:cNvPr>
        <xdr:cNvSpPr/>
      </xdr:nvSpPr>
      <xdr:spPr>
        <a:xfrm>
          <a:off x="95248" y="1023937"/>
          <a:ext cx="1404939" cy="404812"/>
        </a:xfrm>
        <a:prstGeom prst="roundRect">
          <a:avLst/>
        </a:prstGeom>
        <a:effectLst/>
        <a:scene3d>
          <a:camera prst="orthographicFront"/>
          <a:lightRig rig="threePt" dir="t"/>
        </a:scene3d>
        <a:sp3d prstMaterial="metal"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n>
                <a:noFill/>
              </a:ln>
              <a:effectLst/>
            </a:rPr>
            <a:t>Adicionar</a:t>
          </a:r>
          <a:r>
            <a:rPr lang="pt-BR" sz="1100" b="1">
              <a:ln>
                <a:noFill/>
              </a:ln>
              <a:effectLst>
                <a:reflection blurRad="6350" stA="55000" endA="300" endPos="45500" dir="5400000" sy="-100000" algn="bl" rotWithShape="0"/>
              </a:effectLst>
            </a:rPr>
            <a:t> </a:t>
          </a:r>
          <a:r>
            <a:rPr lang="pt-BR" sz="1100" b="1">
              <a:ln>
                <a:noFill/>
              </a:ln>
              <a:effectLst/>
            </a:rPr>
            <a:t>Horários</a:t>
          </a:r>
        </a:p>
        <a:p>
          <a:pPr algn="l"/>
          <a:endParaRPr lang="pt-BR" sz="1100"/>
        </a:p>
      </xdr:txBody>
    </xdr:sp>
    <xdr:clientData/>
  </xdr:twoCellAnchor>
  <xdr:twoCellAnchor>
    <xdr:from>
      <xdr:col>8</xdr:col>
      <xdr:colOff>297655</xdr:colOff>
      <xdr:row>1</xdr:row>
      <xdr:rowOff>593990</xdr:rowOff>
    </xdr:from>
    <xdr:to>
      <xdr:col>12</xdr:col>
      <xdr:colOff>275167</xdr:colOff>
      <xdr:row>1</xdr:row>
      <xdr:rowOff>998802</xdr:rowOff>
    </xdr:to>
    <xdr:sp macro="[0]!Dashboard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9548F13B-7A99-4473-80BF-FA8C9A7AEBDC}"/>
            </a:ext>
          </a:extLst>
        </xdr:cNvPr>
        <xdr:cNvSpPr/>
      </xdr:nvSpPr>
      <xdr:spPr>
        <a:xfrm>
          <a:off x="4964905" y="1345407"/>
          <a:ext cx="1289845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Dashboard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186534</xdr:colOff>
      <xdr:row>1</xdr:row>
      <xdr:rowOff>593990</xdr:rowOff>
    </xdr:from>
    <xdr:to>
      <xdr:col>8</xdr:col>
      <xdr:colOff>232836</xdr:colOff>
      <xdr:row>1</xdr:row>
      <xdr:rowOff>998802</xdr:rowOff>
    </xdr:to>
    <xdr:sp macro="[0]!EscalaLinear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B232E60E-FBB6-4BDA-BEE6-12DA94701DBE}"/>
            </a:ext>
          </a:extLst>
        </xdr:cNvPr>
        <xdr:cNvSpPr/>
      </xdr:nvSpPr>
      <xdr:spPr>
        <a:xfrm>
          <a:off x="3319201" y="1345407"/>
          <a:ext cx="1580885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Escala Linear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745859</xdr:colOff>
      <xdr:row>1</xdr:row>
      <xdr:rowOff>127000</xdr:rowOff>
    </xdr:from>
    <xdr:to>
      <xdr:col>4</xdr:col>
      <xdr:colOff>298979</xdr:colOff>
      <xdr:row>1</xdr:row>
      <xdr:rowOff>533137</xdr:rowOff>
    </xdr:to>
    <xdr:sp macro="[0]!LimparEscalaConfig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238467C3-7699-47F8-A5BA-1AFA831603FA}"/>
            </a:ext>
          </a:extLst>
        </xdr:cNvPr>
        <xdr:cNvSpPr/>
      </xdr:nvSpPr>
      <xdr:spPr>
        <a:xfrm>
          <a:off x="1465526" y="878417"/>
          <a:ext cx="1405203" cy="406137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Limpar Configuração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95251</xdr:colOff>
      <xdr:row>1</xdr:row>
      <xdr:rowOff>126999</xdr:rowOff>
    </xdr:from>
    <xdr:to>
      <xdr:col>1</xdr:col>
      <xdr:colOff>696121</xdr:colOff>
      <xdr:row>1</xdr:row>
      <xdr:rowOff>531811</xdr:rowOff>
    </xdr:to>
    <xdr:sp macro="[0]!PreencherHorar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373087E-1E94-4E95-B668-552591703EA2}"/>
            </a:ext>
          </a:extLst>
        </xdr:cNvPr>
        <xdr:cNvSpPr/>
      </xdr:nvSpPr>
      <xdr:spPr>
        <a:xfrm>
          <a:off x="95251" y="878416"/>
          <a:ext cx="1320537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Preencher Escala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169334</xdr:colOff>
      <xdr:row>1</xdr:row>
      <xdr:rowOff>592666</xdr:rowOff>
    </xdr:from>
    <xdr:to>
      <xdr:col>5</xdr:col>
      <xdr:colOff>117741</xdr:colOff>
      <xdr:row>1</xdr:row>
      <xdr:rowOff>997478</xdr:rowOff>
    </xdr:to>
    <xdr:sp macro="[0]!RemoverHorarioList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4FFE411-44C5-49EA-9556-7430B26DF6CD}"/>
            </a:ext>
          </a:extLst>
        </xdr:cNvPr>
        <xdr:cNvSpPr/>
      </xdr:nvSpPr>
      <xdr:spPr>
        <a:xfrm>
          <a:off x="1703917" y="1344083"/>
          <a:ext cx="1546491" cy="404812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 prstMaterial="metal"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Remover</a:t>
          </a: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>
                <a:reflection blurRad="6350" stA="55000" endA="300" endPos="45500" dir="5400000" sy="-100000" algn="bl" rotWithShape="0"/>
              </a:effectLst>
              <a:uLnTx/>
              <a:uFillTx/>
              <a:latin typeface="Aptos Narrow" panose="02110004020202020204"/>
              <a:ea typeface="+mn-ea"/>
              <a:cs typeface="+mn-cs"/>
            </a:rPr>
            <a:t> </a:t>
          </a: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Horários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119062</xdr:colOff>
      <xdr:row>0</xdr:row>
      <xdr:rowOff>154781</xdr:rowOff>
    </xdr:from>
    <xdr:ext cx="3690937" cy="53258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9062" y="154781"/>
          <a:ext cx="3690937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800" b="0">
              <a:solidFill>
                <a:schemeClr val="bg1"/>
              </a:solidFill>
              <a:latin typeface="Century Gothic" panose="020B0502020202020204" pitchFamily="34" charset="0"/>
            </a:rPr>
            <a:t>Dashboard</a:t>
          </a:r>
        </a:p>
      </xdr:txBody>
    </xdr:sp>
    <xdr:clientData/>
  </xdr:oneCellAnchor>
  <xdr:twoCellAnchor editAs="oneCell">
    <xdr:from>
      <xdr:col>13</xdr:col>
      <xdr:colOff>1240953</xdr:colOff>
      <xdr:row>0</xdr:row>
      <xdr:rowOff>186026</xdr:rowOff>
    </xdr:from>
    <xdr:to>
      <xdr:col>22</xdr:col>
      <xdr:colOff>36340</xdr:colOff>
      <xdr:row>1</xdr:row>
      <xdr:rowOff>393988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3286" y="186026"/>
          <a:ext cx="2266721" cy="64187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114300</xdr:colOff>
      <xdr:row>1</xdr:row>
      <xdr:rowOff>409575</xdr:rowOff>
    </xdr:from>
    <xdr:to>
      <xdr:col>1</xdr:col>
      <xdr:colOff>723900</xdr:colOff>
      <xdr:row>1</xdr:row>
      <xdr:rowOff>695325</xdr:rowOff>
    </xdr:to>
    <xdr:sp macro="[0]!Configuraca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8FDD5EAA-53C7-405F-8E11-D04B6B424D97}"/>
            </a:ext>
          </a:extLst>
        </xdr:cNvPr>
        <xdr:cNvSpPr/>
      </xdr:nvSpPr>
      <xdr:spPr>
        <a:xfrm>
          <a:off x="114300" y="847725"/>
          <a:ext cx="1219200" cy="285750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Configuração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10585</xdr:colOff>
      <xdr:row>11</xdr:row>
      <xdr:rowOff>64940</xdr:rowOff>
    </xdr:from>
    <xdr:to>
      <xdr:col>13</xdr:col>
      <xdr:colOff>1386417</xdr:colOff>
      <xdr:row>32</xdr:row>
      <xdr:rowOff>158750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48B6CA3-C2AF-577F-74F9-182B525B25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828675</xdr:colOff>
      <xdr:row>1</xdr:row>
      <xdr:rowOff>409575</xdr:rowOff>
    </xdr:from>
    <xdr:to>
      <xdr:col>5</xdr:col>
      <xdr:colOff>47624</xdr:colOff>
      <xdr:row>1</xdr:row>
      <xdr:rowOff>714375</xdr:rowOff>
    </xdr:to>
    <xdr:sp macro="[0]!Imprimir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15E24C4-FF5D-4A6D-9148-9D32E231F572}"/>
            </a:ext>
          </a:extLst>
        </xdr:cNvPr>
        <xdr:cNvSpPr/>
      </xdr:nvSpPr>
      <xdr:spPr>
        <a:xfrm>
          <a:off x="1438275" y="847725"/>
          <a:ext cx="1219199" cy="304800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Imprimir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651837</xdr:colOff>
      <xdr:row>15</xdr:row>
      <xdr:rowOff>115838</xdr:rowOff>
    </xdr:from>
    <xdr:to>
      <xdr:col>46</xdr:col>
      <xdr:colOff>592665</xdr:colOff>
      <xdr:row>32</xdr:row>
      <xdr:rowOff>137583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3DCBD32-573C-B5E4-79F0-2D33F4F53E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olegario\AppData\Local\Temp\5e9a30a2-d9f4-4be0-a36a-bc1e3cc6077d_Planilha-de-escala-de-trabalho.zip.77d\Planilha%20de%20escala%20de%20trabalho.xlsx" TargetMode="External"/><Relationship Id="rId1" Type="http://schemas.openxmlformats.org/officeDocument/2006/relationships/externalLinkPath" Target="/Users/lolegario/AppData/Local/Temp/5e9a30a2-d9f4-4be0-a36a-bc1e3cc6077d_Planilha-de-escala-de-trabalho.zip.77d/Planilha%20de%20escala%20de%20trabalh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scala de funcionários"/>
      <sheetName val="Configuração"/>
      <sheetName val="Planilha de escala de trabalho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CACEE-93F4-4EAA-8059-CC6261CA8E10}">
  <sheetPr codeName="Planilha5"/>
  <dimension ref="A1:AL39"/>
  <sheetViews>
    <sheetView zoomScale="80" zoomScaleNormal="80" workbookViewId="0">
      <selection activeCell="L14" sqref="L14"/>
    </sheetView>
  </sheetViews>
  <sheetFormatPr defaultRowHeight="15" x14ac:dyDescent="0.25"/>
  <cols>
    <col min="1" max="1" width="13.140625" customWidth="1"/>
    <col min="2" max="4" width="7.85546875" bestFit="1" customWidth="1"/>
    <col min="5" max="5" width="5.7109375" bestFit="1" customWidth="1"/>
    <col min="6" max="6" width="5.140625" bestFit="1" customWidth="1"/>
    <col min="7" max="16" width="6.7109375" bestFit="1" customWidth="1"/>
    <col min="17" max="17" width="5.7109375" bestFit="1" customWidth="1"/>
    <col min="18" max="23" width="5.140625" bestFit="1" customWidth="1"/>
    <col min="24" max="24" width="5.7109375" bestFit="1" customWidth="1"/>
    <col min="25" max="30" width="5.140625" bestFit="1" customWidth="1"/>
    <col min="31" max="31" width="5.7109375" bestFit="1" customWidth="1"/>
    <col min="32" max="32" width="4.85546875" bestFit="1" customWidth="1"/>
    <col min="33" max="33" width="5.140625" bestFit="1" customWidth="1"/>
    <col min="34" max="34" width="10.85546875" bestFit="1" customWidth="1"/>
    <col min="35" max="35" width="11.28515625" bestFit="1" customWidth="1"/>
    <col min="36" max="36" width="12.7109375" customWidth="1"/>
    <col min="37" max="37" width="7.85546875" hidden="1" customWidth="1"/>
    <col min="38" max="38" width="6.140625" hidden="1" customWidth="1"/>
  </cols>
  <sheetData>
    <row r="1" spans="1:38" ht="60.75" customHeight="1" x14ac:dyDescent="0.25">
      <c r="A1" s="58"/>
      <c r="B1" s="58"/>
      <c r="C1" s="58"/>
      <c r="D1" s="58"/>
      <c r="E1" s="59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8" ht="77.25" customHeight="1" x14ac:dyDescent="0.25">
      <c r="A2" s="42"/>
      <c r="B2" s="42"/>
      <c r="C2" s="42"/>
      <c r="D2" s="42"/>
      <c r="E2" s="61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</row>
    <row r="3" spans="1:38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</row>
    <row r="4" spans="1:38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</row>
    <row r="5" spans="1:38" ht="15.75" thickBot="1" x14ac:dyDescent="0.3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</row>
    <row r="6" spans="1:38" ht="24.75" thickBot="1" x14ac:dyDescent="0.3">
      <c r="A6" s="170" t="s">
        <v>31</v>
      </c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2"/>
      <c r="AG6" s="17"/>
      <c r="AH6" s="17"/>
      <c r="AI6" s="17"/>
      <c r="AJ6" s="17"/>
    </row>
    <row r="7" spans="1:38" ht="15.75" thickBot="1" x14ac:dyDescent="0.3">
      <c r="A7" s="173" t="s">
        <v>38</v>
      </c>
      <c r="B7" s="55" t="str">
        <f>UPPER(TEXT(B8,"[$]ddd"))</f>
        <v>QUA</v>
      </c>
      <c r="C7" s="55" t="str">
        <f t="shared" ref="C7:AF7" si="0">UPPER(TEXT(C8,"[$]ddd"))</f>
        <v>QUI</v>
      </c>
      <c r="D7" s="55" t="str">
        <f t="shared" si="0"/>
        <v>SEX</v>
      </c>
      <c r="E7" s="55" t="str">
        <f t="shared" si="0"/>
        <v>SÁB</v>
      </c>
      <c r="F7" s="55" t="str">
        <f t="shared" si="0"/>
        <v>DOM</v>
      </c>
      <c r="G7" s="55" t="str">
        <f t="shared" si="0"/>
        <v>SEG</v>
      </c>
      <c r="H7" s="55" t="str">
        <f t="shared" si="0"/>
        <v>TER</v>
      </c>
      <c r="I7" s="55" t="str">
        <f t="shared" si="0"/>
        <v>QUA</v>
      </c>
      <c r="J7" s="55" t="str">
        <f t="shared" si="0"/>
        <v>QUI</v>
      </c>
      <c r="K7" s="55" t="str">
        <f t="shared" si="0"/>
        <v>SEX</v>
      </c>
      <c r="L7" s="55" t="str">
        <f t="shared" si="0"/>
        <v>SÁB</v>
      </c>
      <c r="M7" s="55" t="str">
        <f t="shared" si="0"/>
        <v>DOM</v>
      </c>
      <c r="N7" s="55" t="str">
        <f t="shared" si="0"/>
        <v>SEG</v>
      </c>
      <c r="O7" s="55" t="str">
        <f t="shared" si="0"/>
        <v>TER</v>
      </c>
      <c r="P7" s="55" t="str">
        <f t="shared" si="0"/>
        <v>QUA</v>
      </c>
      <c r="Q7" s="55" t="str">
        <f t="shared" si="0"/>
        <v>QUI</v>
      </c>
      <c r="R7" s="55" t="str">
        <f t="shared" si="0"/>
        <v>SEX</v>
      </c>
      <c r="S7" s="55" t="str">
        <f t="shared" si="0"/>
        <v>SÁB</v>
      </c>
      <c r="T7" s="55" t="str">
        <f t="shared" si="0"/>
        <v>DOM</v>
      </c>
      <c r="U7" s="55" t="str">
        <f t="shared" si="0"/>
        <v>SEG</v>
      </c>
      <c r="V7" s="55" t="str">
        <f t="shared" si="0"/>
        <v>TER</v>
      </c>
      <c r="W7" s="55" t="str">
        <f t="shared" si="0"/>
        <v>QUA</v>
      </c>
      <c r="X7" s="55" t="str">
        <f t="shared" si="0"/>
        <v>QUI</v>
      </c>
      <c r="Y7" s="55" t="str">
        <f t="shared" si="0"/>
        <v>SEX</v>
      </c>
      <c r="Z7" s="55" t="str">
        <f t="shared" si="0"/>
        <v>SÁB</v>
      </c>
      <c r="AA7" s="55" t="str">
        <f t="shared" si="0"/>
        <v>DOM</v>
      </c>
      <c r="AB7" s="55" t="str">
        <f t="shared" si="0"/>
        <v>SEG</v>
      </c>
      <c r="AC7" s="55" t="str">
        <f t="shared" si="0"/>
        <v>TER</v>
      </c>
      <c r="AD7" s="55" t="str">
        <f t="shared" si="0"/>
        <v>QUA</v>
      </c>
      <c r="AE7" s="55" t="str">
        <f t="shared" si="0"/>
        <v>QUI</v>
      </c>
      <c r="AF7" s="55" t="str">
        <f t="shared" si="0"/>
        <v>SEX</v>
      </c>
      <c r="AG7" s="17"/>
      <c r="AH7" s="17"/>
      <c r="AI7" s="17"/>
      <c r="AJ7" s="17"/>
    </row>
    <row r="8" spans="1:38" ht="15.75" thickBot="1" x14ac:dyDescent="0.3">
      <c r="A8" s="174"/>
      <c r="B8" s="39">
        <f>B21</f>
        <v>45413</v>
      </c>
      <c r="C8" s="37">
        <f>B8+1</f>
        <v>45414</v>
      </c>
      <c r="D8" s="37">
        <f t="shared" ref="D8:AF8" si="1">C8+1</f>
        <v>45415</v>
      </c>
      <c r="E8" s="37">
        <f t="shared" si="1"/>
        <v>45416</v>
      </c>
      <c r="F8" s="37">
        <f t="shared" si="1"/>
        <v>45417</v>
      </c>
      <c r="G8" s="37">
        <f t="shared" si="1"/>
        <v>45418</v>
      </c>
      <c r="H8" s="37">
        <f t="shared" si="1"/>
        <v>45419</v>
      </c>
      <c r="I8" s="37">
        <f t="shared" si="1"/>
        <v>45420</v>
      </c>
      <c r="J8" s="37">
        <f t="shared" si="1"/>
        <v>45421</v>
      </c>
      <c r="K8" s="37">
        <f t="shared" si="1"/>
        <v>45422</v>
      </c>
      <c r="L8" s="37">
        <f t="shared" si="1"/>
        <v>45423</v>
      </c>
      <c r="M8" s="37">
        <f t="shared" si="1"/>
        <v>45424</v>
      </c>
      <c r="N8" s="37">
        <f t="shared" si="1"/>
        <v>45425</v>
      </c>
      <c r="O8" s="37">
        <f t="shared" si="1"/>
        <v>45426</v>
      </c>
      <c r="P8" s="37">
        <f t="shared" si="1"/>
        <v>45427</v>
      </c>
      <c r="Q8" s="37">
        <f t="shared" si="1"/>
        <v>45428</v>
      </c>
      <c r="R8" s="37">
        <f t="shared" si="1"/>
        <v>45429</v>
      </c>
      <c r="S8" s="37">
        <f t="shared" si="1"/>
        <v>45430</v>
      </c>
      <c r="T8" s="37">
        <f t="shared" si="1"/>
        <v>45431</v>
      </c>
      <c r="U8" s="37">
        <f t="shared" si="1"/>
        <v>45432</v>
      </c>
      <c r="V8" s="37">
        <f t="shared" si="1"/>
        <v>45433</v>
      </c>
      <c r="W8" s="37">
        <f t="shared" si="1"/>
        <v>45434</v>
      </c>
      <c r="X8" s="37">
        <f t="shared" si="1"/>
        <v>45435</v>
      </c>
      <c r="Y8" s="37">
        <f t="shared" si="1"/>
        <v>45436</v>
      </c>
      <c r="Z8" s="37">
        <f t="shared" si="1"/>
        <v>45437</v>
      </c>
      <c r="AA8" s="37">
        <f t="shared" si="1"/>
        <v>45438</v>
      </c>
      <c r="AB8" s="37">
        <f t="shared" si="1"/>
        <v>45439</v>
      </c>
      <c r="AC8" s="37">
        <f t="shared" si="1"/>
        <v>45440</v>
      </c>
      <c r="AD8" s="37">
        <f t="shared" si="1"/>
        <v>45441</v>
      </c>
      <c r="AE8" s="37">
        <f t="shared" si="1"/>
        <v>45442</v>
      </c>
      <c r="AF8" s="38">
        <f t="shared" si="1"/>
        <v>45443</v>
      </c>
      <c r="AG8" s="17"/>
      <c r="AH8" s="17"/>
      <c r="AI8" s="17"/>
      <c r="AJ8" s="17"/>
    </row>
    <row r="9" spans="1:38" ht="15.75" thickBot="1" x14ac:dyDescent="0.3">
      <c r="A9" s="76" t="s">
        <v>47</v>
      </c>
      <c r="B9" s="225" t="s">
        <v>55</v>
      </c>
      <c r="C9" s="226" t="s">
        <v>55</v>
      </c>
      <c r="D9" s="226" t="s">
        <v>55</v>
      </c>
      <c r="E9" s="226" t="s">
        <v>55</v>
      </c>
      <c r="F9" s="226" t="s">
        <v>55</v>
      </c>
      <c r="G9" s="226" t="s">
        <v>55</v>
      </c>
      <c r="H9" s="226" t="s">
        <v>70</v>
      </c>
      <c r="I9" s="226" t="s">
        <v>55</v>
      </c>
      <c r="J9" s="226" t="s">
        <v>55</v>
      </c>
      <c r="K9" s="226" t="s">
        <v>55</v>
      </c>
      <c r="L9" s="226" t="s">
        <v>55</v>
      </c>
      <c r="M9" s="226" t="s">
        <v>55</v>
      </c>
      <c r="N9" s="226" t="s">
        <v>55</v>
      </c>
      <c r="O9" s="226" t="s">
        <v>55</v>
      </c>
      <c r="P9" s="226" t="s">
        <v>55</v>
      </c>
      <c r="Q9" s="226" t="s">
        <v>55</v>
      </c>
      <c r="R9" s="226" t="s">
        <v>55</v>
      </c>
      <c r="S9" s="226" t="s">
        <v>55</v>
      </c>
      <c r="T9" s="226" t="s">
        <v>55</v>
      </c>
      <c r="U9" s="226" t="s">
        <v>55</v>
      </c>
      <c r="V9" s="226" t="s">
        <v>55</v>
      </c>
      <c r="W9" s="226" t="s">
        <v>55</v>
      </c>
      <c r="X9" s="226" t="s">
        <v>55</v>
      </c>
      <c r="Y9" s="226" t="s">
        <v>55</v>
      </c>
      <c r="Z9" s="226" t="s">
        <v>55</v>
      </c>
      <c r="AA9" s="226" t="s">
        <v>55</v>
      </c>
      <c r="AB9" s="226" t="s">
        <v>55</v>
      </c>
      <c r="AC9" s="226" t="s">
        <v>55</v>
      </c>
      <c r="AD9" s="226" t="s">
        <v>55</v>
      </c>
      <c r="AE9" s="226" t="s">
        <v>55</v>
      </c>
      <c r="AF9" s="227" t="s">
        <v>55</v>
      </c>
      <c r="AG9" s="17"/>
      <c r="AH9" s="17"/>
      <c r="AI9" s="17"/>
      <c r="AJ9" s="17"/>
      <c r="AK9" s="80" t="s">
        <v>64</v>
      </c>
      <c r="AL9" s="74" t="s">
        <v>65</v>
      </c>
    </row>
    <row r="10" spans="1:38" x14ac:dyDescent="0.25">
      <c r="A10" s="77" t="s">
        <v>56</v>
      </c>
      <c r="B10" s="228" t="s">
        <v>53</v>
      </c>
      <c r="C10" s="229" t="s">
        <v>53</v>
      </c>
      <c r="D10" s="229" t="s">
        <v>53</v>
      </c>
      <c r="E10" s="229" t="s">
        <v>53</v>
      </c>
      <c r="F10" s="229" t="s">
        <v>70</v>
      </c>
      <c r="G10" s="229" t="s">
        <v>53</v>
      </c>
      <c r="H10" s="229" t="s">
        <v>53</v>
      </c>
      <c r="I10" s="229" t="s">
        <v>69</v>
      </c>
      <c r="J10" s="229" t="s">
        <v>53</v>
      </c>
      <c r="K10" s="229" t="s">
        <v>53</v>
      </c>
      <c r="L10" s="229" t="s">
        <v>53</v>
      </c>
      <c r="M10" s="229" t="s">
        <v>53</v>
      </c>
      <c r="N10" s="229" t="s">
        <v>53</v>
      </c>
      <c r="O10" s="229" t="s">
        <v>53</v>
      </c>
      <c r="P10" s="229" t="s">
        <v>53</v>
      </c>
      <c r="Q10" s="229" t="s">
        <v>53</v>
      </c>
      <c r="R10" s="229" t="s">
        <v>53</v>
      </c>
      <c r="S10" s="229" t="s">
        <v>53</v>
      </c>
      <c r="T10" s="229" t="s">
        <v>53</v>
      </c>
      <c r="U10" s="229" t="s">
        <v>53</v>
      </c>
      <c r="V10" s="229" t="s">
        <v>53</v>
      </c>
      <c r="W10" s="229" t="s">
        <v>53</v>
      </c>
      <c r="X10" s="229" t="s">
        <v>53</v>
      </c>
      <c r="Y10" s="229" t="s">
        <v>53</v>
      </c>
      <c r="Z10" s="229" t="s">
        <v>53</v>
      </c>
      <c r="AA10" s="229" t="s">
        <v>53</v>
      </c>
      <c r="AB10" s="229" t="s">
        <v>53</v>
      </c>
      <c r="AC10" s="229" t="s">
        <v>53</v>
      </c>
      <c r="AD10" s="229" t="s">
        <v>53</v>
      </c>
      <c r="AE10" s="229" t="s">
        <v>53</v>
      </c>
      <c r="AF10" s="227" t="s">
        <v>53</v>
      </c>
      <c r="AG10" s="17"/>
      <c r="AH10" s="17"/>
      <c r="AI10" s="17"/>
      <c r="AJ10" s="17"/>
      <c r="AK10" t="s">
        <v>73</v>
      </c>
      <c r="AL10" t="s">
        <v>53</v>
      </c>
    </row>
    <row r="11" spans="1:38" x14ac:dyDescent="0.25">
      <c r="A11" s="77" t="s">
        <v>46</v>
      </c>
      <c r="B11" s="228"/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7"/>
      <c r="AG11" s="17"/>
      <c r="AH11" s="17"/>
      <c r="AI11" s="17"/>
      <c r="AJ11" s="17"/>
      <c r="AL11" t="s">
        <v>54</v>
      </c>
    </row>
    <row r="12" spans="1:38" x14ac:dyDescent="0.25">
      <c r="A12" s="77" t="s">
        <v>58</v>
      </c>
      <c r="B12" s="228"/>
      <c r="C12" s="229"/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7"/>
      <c r="AG12" s="17"/>
      <c r="AH12" s="17"/>
      <c r="AI12" s="17"/>
      <c r="AJ12" s="17"/>
      <c r="AL12" t="s">
        <v>55</v>
      </c>
    </row>
    <row r="13" spans="1:38" x14ac:dyDescent="0.25">
      <c r="A13" s="77" t="s">
        <v>43</v>
      </c>
      <c r="B13" s="228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7"/>
      <c r="AG13" s="17"/>
      <c r="AH13" s="17"/>
      <c r="AI13" s="17"/>
      <c r="AJ13" s="17"/>
      <c r="AL13" t="s">
        <v>70</v>
      </c>
    </row>
    <row r="14" spans="1:38" x14ac:dyDescent="0.25">
      <c r="A14" s="77" t="s">
        <v>45</v>
      </c>
      <c r="B14" s="228"/>
      <c r="C14" s="229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29"/>
      <c r="S14" s="229"/>
      <c r="T14" s="229"/>
      <c r="U14" s="229"/>
      <c r="V14" s="229"/>
      <c r="W14" s="229"/>
      <c r="X14" s="229"/>
      <c r="Y14" s="229"/>
      <c r="Z14" s="229"/>
      <c r="AA14" s="229"/>
      <c r="AB14" s="229"/>
      <c r="AC14" s="229"/>
      <c r="AD14" s="229"/>
      <c r="AE14" s="229"/>
      <c r="AF14" s="227"/>
      <c r="AG14" s="17"/>
      <c r="AH14" s="17"/>
      <c r="AI14" s="17"/>
      <c r="AJ14" s="17"/>
      <c r="AL14" t="s">
        <v>69</v>
      </c>
    </row>
    <row r="15" spans="1:38" x14ac:dyDescent="0.25">
      <c r="A15" s="77" t="s">
        <v>59</v>
      </c>
      <c r="B15" s="228"/>
      <c r="C15" s="229"/>
      <c r="D15" s="229"/>
      <c r="E15" s="229"/>
      <c r="F15" s="229"/>
      <c r="G15" s="229"/>
      <c r="H15" s="229"/>
      <c r="I15" s="229"/>
      <c r="J15" s="229"/>
      <c r="K15" s="229"/>
      <c r="L15" s="229"/>
      <c r="M15" s="229"/>
      <c r="N15" s="229"/>
      <c r="O15" s="229"/>
      <c r="P15" s="229"/>
      <c r="Q15" s="229"/>
      <c r="R15" s="229"/>
      <c r="S15" s="229"/>
      <c r="T15" s="229"/>
      <c r="U15" s="229"/>
      <c r="V15" s="229"/>
      <c r="W15" s="229"/>
      <c r="X15" s="229"/>
      <c r="Y15" s="229"/>
      <c r="Z15" s="229"/>
      <c r="AA15" s="229"/>
      <c r="AB15" s="229"/>
      <c r="AC15" s="229"/>
      <c r="AD15" s="229"/>
      <c r="AE15" s="229"/>
      <c r="AF15" s="227"/>
      <c r="AG15" s="17"/>
      <c r="AH15" s="17"/>
      <c r="AI15" s="17"/>
      <c r="AJ15" s="17"/>
    </row>
    <row r="16" spans="1:38" x14ac:dyDescent="0.25">
      <c r="A16" s="77" t="s">
        <v>74</v>
      </c>
      <c r="B16" s="228"/>
      <c r="C16" s="229"/>
      <c r="D16" s="229"/>
      <c r="E16" s="229"/>
      <c r="F16" s="229"/>
      <c r="G16" s="229"/>
      <c r="H16" s="229"/>
      <c r="I16" s="229"/>
      <c r="J16" s="229"/>
      <c r="K16" s="229"/>
      <c r="L16" s="229"/>
      <c r="M16" s="229"/>
      <c r="N16" s="229"/>
      <c r="O16" s="229"/>
      <c r="P16" s="229"/>
      <c r="Q16" s="229"/>
      <c r="R16" s="229"/>
      <c r="S16" s="229"/>
      <c r="T16" s="229"/>
      <c r="U16" s="229"/>
      <c r="V16" s="229"/>
      <c r="W16" s="229"/>
      <c r="X16" s="229"/>
      <c r="Y16" s="229"/>
      <c r="Z16" s="229"/>
      <c r="AA16" s="229"/>
      <c r="AB16" s="229"/>
      <c r="AC16" s="229"/>
      <c r="AD16" s="229"/>
      <c r="AE16" s="229"/>
      <c r="AF16" s="227"/>
      <c r="AG16" s="17"/>
      <c r="AH16" s="17"/>
      <c r="AI16" s="17"/>
      <c r="AJ16" s="17"/>
    </row>
    <row r="17" spans="1:36" x14ac:dyDescent="0.25">
      <c r="A17" s="77" t="s">
        <v>60</v>
      </c>
      <c r="B17" s="228"/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229"/>
      <c r="Q17" s="229"/>
      <c r="R17" s="229"/>
      <c r="S17" s="229"/>
      <c r="T17" s="229"/>
      <c r="U17" s="229"/>
      <c r="V17" s="229"/>
      <c r="W17" s="229"/>
      <c r="X17" s="229"/>
      <c r="Y17" s="229"/>
      <c r="Z17" s="229"/>
      <c r="AA17" s="229"/>
      <c r="AB17" s="229"/>
      <c r="AC17" s="229"/>
      <c r="AD17" s="229"/>
      <c r="AE17" s="229"/>
      <c r="AF17" s="227"/>
      <c r="AG17" s="17"/>
      <c r="AH17" s="17"/>
      <c r="AI17" s="17"/>
      <c r="AJ17" s="17"/>
    </row>
    <row r="18" spans="1:36" ht="15.75" thickBot="1" x14ac:dyDescent="0.3">
      <c r="A18" s="78" t="s">
        <v>44</v>
      </c>
      <c r="B18" s="230"/>
      <c r="C18" s="100" t="s">
        <v>69</v>
      </c>
      <c r="D18" s="100" t="s">
        <v>69</v>
      </c>
      <c r="E18" s="100" t="s">
        <v>69</v>
      </c>
      <c r="F18" s="100" t="s">
        <v>69</v>
      </c>
      <c r="G18" s="100" t="s">
        <v>69</v>
      </c>
      <c r="H18" s="100" t="s">
        <v>69</v>
      </c>
      <c r="I18" s="100" t="s">
        <v>69</v>
      </c>
      <c r="J18" s="100" t="s">
        <v>69</v>
      </c>
      <c r="K18" s="100" t="s">
        <v>69</v>
      </c>
      <c r="L18" s="100" t="s">
        <v>69</v>
      </c>
      <c r="M18" s="100" t="s">
        <v>69</v>
      </c>
      <c r="N18" s="100" t="s">
        <v>69</v>
      </c>
      <c r="O18" s="100" t="s">
        <v>69</v>
      </c>
      <c r="P18" s="100" t="s">
        <v>69</v>
      </c>
      <c r="Q18" s="100" t="s">
        <v>69</v>
      </c>
      <c r="R18" s="100" t="s">
        <v>69</v>
      </c>
      <c r="S18" s="100" t="s">
        <v>69</v>
      </c>
      <c r="T18" s="100" t="s">
        <v>69</v>
      </c>
      <c r="U18" s="100" t="s">
        <v>69</v>
      </c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231"/>
      <c r="AG18" s="17"/>
      <c r="AH18" s="17"/>
      <c r="AI18" s="17"/>
      <c r="AJ18" s="17"/>
    </row>
    <row r="19" spans="1:36" ht="15.75" thickBot="1" x14ac:dyDescent="0.3">
      <c r="A19" s="67" t="s">
        <v>42</v>
      </c>
      <c r="B19" s="70" t="s">
        <v>73</v>
      </c>
      <c r="C19" s="71"/>
      <c r="D19" s="71" t="s">
        <v>73</v>
      </c>
      <c r="E19" s="71" t="s">
        <v>73</v>
      </c>
      <c r="F19" s="71"/>
      <c r="G19" s="71" t="s">
        <v>73</v>
      </c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 t="s">
        <v>73</v>
      </c>
      <c r="Y19" s="71"/>
      <c r="Z19" s="71"/>
      <c r="AA19" s="71"/>
      <c r="AB19" s="71"/>
      <c r="AC19" s="71"/>
      <c r="AD19" s="71"/>
      <c r="AE19" s="71"/>
      <c r="AF19" s="72" t="s">
        <v>73</v>
      </c>
      <c r="AG19" s="17"/>
      <c r="AH19" s="17"/>
      <c r="AI19" s="17"/>
      <c r="AJ19" s="17"/>
    </row>
    <row r="20" spans="1:36" ht="15.75" thickBot="1" x14ac:dyDescent="0.3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</row>
    <row r="21" spans="1:36" ht="15.75" thickBot="1" x14ac:dyDescent="0.3">
      <c r="A21" s="73" t="s">
        <v>57</v>
      </c>
      <c r="B21" s="175">
        <v>45413</v>
      </c>
      <c r="C21" s="176"/>
      <c r="D21" s="17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</row>
    <row r="22" spans="1:36" ht="15.75" thickBot="1" x14ac:dyDescent="0.3">
      <c r="A22" s="67" t="s">
        <v>51</v>
      </c>
      <c r="B22" s="235">
        <f>EOMONTH(B21,0)</f>
        <v>45443</v>
      </c>
      <c r="C22" s="236"/>
      <c r="D22" s="23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</row>
    <row r="23" spans="1:36" ht="15.75" thickBot="1" x14ac:dyDescent="0.3">
      <c r="A23" s="67" t="s">
        <v>52</v>
      </c>
      <c r="B23" s="178">
        <f>DAY(B22)</f>
        <v>31</v>
      </c>
      <c r="C23" s="179"/>
      <c r="D23" s="180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</row>
    <row r="24" spans="1:36" ht="15.75" thickBot="1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</row>
    <row r="25" spans="1:36" ht="15.75" thickBot="1" x14ac:dyDescent="0.3">
      <c r="A25" s="73" t="s">
        <v>62</v>
      </c>
      <c r="B25" s="34" t="s">
        <v>53</v>
      </c>
      <c r="C25" s="168" t="s">
        <v>49</v>
      </c>
      <c r="D25" s="169"/>
      <c r="E25" s="98" t="s">
        <v>69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</row>
    <row r="26" spans="1:36" ht="15.75" thickBot="1" x14ac:dyDescent="0.3">
      <c r="A26" s="67" t="s">
        <v>32</v>
      </c>
      <c r="B26" s="33" t="s">
        <v>54</v>
      </c>
      <c r="C26" s="168" t="s">
        <v>48</v>
      </c>
      <c r="D26" s="169"/>
      <c r="E26" s="99" t="s">
        <v>70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</row>
    <row r="27" spans="1:36" ht="15.75" thickBot="1" x14ac:dyDescent="0.3">
      <c r="A27" s="67" t="s">
        <v>63</v>
      </c>
      <c r="B27" s="33" t="s">
        <v>55</v>
      </c>
      <c r="C27" s="168" t="s">
        <v>64</v>
      </c>
      <c r="D27" s="169"/>
      <c r="E27" s="100" t="s">
        <v>73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</row>
    <row r="28" spans="1:36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</row>
    <row r="29" spans="1:36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</row>
    <row r="30" spans="1:36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</row>
    <row r="31" spans="1:36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</row>
    <row r="32" spans="1:36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</row>
    <row r="33" spans="1:36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</row>
    <row r="34" spans="1:36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</row>
    <row r="35" spans="1:36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</row>
    <row r="36" spans="1:36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</row>
    <row r="37" spans="1:36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</row>
    <row r="38" spans="1:36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</row>
    <row r="39" spans="1:36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</row>
  </sheetData>
  <mergeCells count="8">
    <mergeCell ref="C27:D27"/>
    <mergeCell ref="C25:D25"/>
    <mergeCell ref="C26:D26"/>
    <mergeCell ref="A6:AF6"/>
    <mergeCell ref="A7:A8"/>
    <mergeCell ref="B21:D21"/>
    <mergeCell ref="B22:D22"/>
    <mergeCell ref="B23:D23"/>
  </mergeCells>
  <conditionalFormatting sqref="AL10:AL19">
    <cfRule type="expression" dxfId="7189" priority="45">
      <formula>INDIRECT(_xludf.CELL("address"))="$AL$10:$AL$19"</formula>
    </cfRule>
  </conditionalFormatting>
  <conditionalFormatting sqref="B25:B27">
    <cfRule type="containsText" dxfId="7188" priority="42" operator="containsText" text="T3">
      <formula>NOT(ISERROR(SEARCH("T3",B25)))</formula>
    </cfRule>
    <cfRule type="containsText" dxfId="7187" priority="43" operator="containsText" text="T2">
      <formula>NOT(ISERROR(SEARCH("T2",B25)))</formula>
    </cfRule>
    <cfRule type="containsText" dxfId="7186" priority="44" operator="containsText" text="T1">
      <formula>NOT(ISERROR(SEARCH("T1",B25)))</formula>
    </cfRule>
  </conditionalFormatting>
  <conditionalFormatting sqref="B19:AF19">
    <cfRule type="containsText" dxfId="7185" priority="41" operator="containsText" text="FE">
      <formula>NOT(ISERROR(SEARCH("FE",B19)))</formula>
    </cfRule>
  </conditionalFormatting>
  <conditionalFormatting sqref="B9:AF18">
    <cfRule type="containsText" dxfId="7184" priority="36" operator="containsText" text="DO">
      <formula>NOT(ISERROR(SEARCH("DO",B9)))</formula>
    </cfRule>
    <cfRule type="containsText" dxfId="7183" priority="37" operator="containsText" text="VA">
      <formula>NOT(ISERROR(SEARCH("VA",B9)))</formula>
    </cfRule>
    <cfRule type="containsText" dxfId="7182" priority="38" operator="containsText" text="T1">
      <formula>NOT(ISERROR(SEARCH("T1",B9)))</formula>
    </cfRule>
    <cfRule type="containsText" dxfId="7181" priority="39" operator="containsText" text="T2">
      <formula>NOT(ISERROR(SEARCH("T2",B9)))</formula>
    </cfRule>
    <cfRule type="containsText" dxfId="7180" priority="40" operator="containsText" text="T3">
      <formula>NOT(ISERROR(SEARCH("T3",B9)))</formula>
    </cfRule>
  </conditionalFormatting>
  <conditionalFormatting sqref="B8">
    <cfRule type="expression" dxfId="7179" priority="35">
      <formula>$B$19="FE"</formula>
    </cfRule>
  </conditionalFormatting>
  <conditionalFormatting sqref="C8">
    <cfRule type="expression" dxfId="7178" priority="34">
      <formula>$C$19="FE"</formula>
    </cfRule>
  </conditionalFormatting>
  <conditionalFormatting sqref="D8">
    <cfRule type="expression" dxfId="7177" priority="32">
      <formula>$D$19="FE"</formula>
    </cfRule>
  </conditionalFormatting>
  <conditionalFormatting sqref="E8">
    <cfRule type="expression" dxfId="7176" priority="31">
      <formula>$E$19="FE"</formula>
    </cfRule>
  </conditionalFormatting>
  <conditionalFormatting sqref="F8">
    <cfRule type="expression" dxfId="7175" priority="30">
      <formula>$F$19="FE"</formula>
    </cfRule>
  </conditionalFormatting>
  <conditionalFormatting sqref="G8">
    <cfRule type="expression" dxfId="7174" priority="29">
      <formula>$G$19="FE"</formula>
    </cfRule>
  </conditionalFormatting>
  <conditionalFormatting sqref="H8">
    <cfRule type="expression" dxfId="7173" priority="28">
      <formula>$H$19="FE"</formula>
    </cfRule>
  </conditionalFormatting>
  <conditionalFormatting sqref="I8">
    <cfRule type="expression" dxfId="7172" priority="27">
      <formula>$I$19="FE"</formula>
    </cfRule>
  </conditionalFormatting>
  <conditionalFormatting sqref="J8">
    <cfRule type="expression" dxfId="7171" priority="26">
      <formula>$J$19="FE"</formula>
    </cfRule>
  </conditionalFormatting>
  <conditionalFormatting sqref="K8">
    <cfRule type="expression" dxfId="7170" priority="25">
      <formula>$K$19="FE"</formula>
    </cfRule>
  </conditionalFormatting>
  <conditionalFormatting sqref="L8">
    <cfRule type="expression" dxfId="7169" priority="24">
      <formula>$L$19="FE"</formula>
    </cfRule>
  </conditionalFormatting>
  <conditionalFormatting sqref="M8">
    <cfRule type="expression" dxfId="7168" priority="23">
      <formula>$M$19="FE"</formula>
    </cfRule>
  </conditionalFormatting>
  <conditionalFormatting sqref="N8">
    <cfRule type="expression" dxfId="7167" priority="22">
      <formula>$N$19="FE"</formula>
    </cfRule>
  </conditionalFormatting>
  <conditionalFormatting sqref="O8">
    <cfRule type="expression" dxfId="7166" priority="21">
      <formula>$O$19="FE"</formula>
    </cfRule>
  </conditionalFormatting>
  <conditionalFormatting sqref="P8">
    <cfRule type="expression" dxfId="7165" priority="20">
      <formula>$P$19="FE"</formula>
    </cfRule>
  </conditionalFormatting>
  <conditionalFormatting sqref="Q8">
    <cfRule type="expression" dxfId="7164" priority="19">
      <formula>$Q$19="FE"</formula>
    </cfRule>
  </conditionalFormatting>
  <conditionalFormatting sqref="R8">
    <cfRule type="expression" dxfId="7163" priority="18">
      <formula>$R$19="FE"</formula>
    </cfRule>
  </conditionalFormatting>
  <conditionalFormatting sqref="S8">
    <cfRule type="expression" dxfId="7162" priority="17">
      <formula>$S$19="FE"</formula>
    </cfRule>
  </conditionalFormatting>
  <conditionalFormatting sqref="T8">
    <cfRule type="expression" dxfId="7161" priority="16">
      <formula>$T$19="FE"</formula>
    </cfRule>
  </conditionalFormatting>
  <conditionalFormatting sqref="U8">
    <cfRule type="expression" dxfId="7160" priority="15">
      <formula>$U$19="FE"</formula>
    </cfRule>
  </conditionalFormatting>
  <conditionalFormatting sqref="V8">
    <cfRule type="expression" dxfId="7159" priority="14">
      <formula>$V$19="FE"</formula>
    </cfRule>
  </conditionalFormatting>
  <conditionalFormatting sqref="W8">
    <cfRule type="expression" dxfId="7158" priority="13">
      <formula>$W$19="FE"</formula>
    </cfRule>
  </conditionalFormatting>
  <conditionalFormatting sqref="X8">
    <cfRule type="expression" dxfId="7157" priority="12">
      <formula>$X$19="FE"</formula>
    </cfRule>
  </conditionalFormatting>
  <conditionalFormatting sqref="Y8">
    <cfRule type="expression" dxfId="7156" priority="11">
      <formula>$Y$19="FE"</formula>
    </cfRule>
  </conditionalFormatting>
  <conditionalFormatting sqref="Z8">
    <cfRule type="expression" dxfId="7155" priority="10">
      <formula>$Z$19="FE"</formula>
    </cfRule>
  </conditionalFormatting>
  <conditionalFormatting sqref="AA8">
    <cfRule type="expression" dxfId="7154" priority="9">
      <formula>$AA$19="FE"</formula>
    </cfRule>
  </conditionalFormatting>
  <conditionalFormatting sqref="AB8">
    <cfRule type="expression" dxfId="7153" priority="8">
      <formula>$AB$19="FE"</formula>
    </cfRule>
  </conditionalFormatting>
  <conditionalFormatting sqref="AC8">
    <cfRule type="expression" dxfId="7152" priority="7">
      <formula>$AC$19="FE"</formula>
    </cfRule>
  </conditionalFormatting>
  <conditionalFormatting sqref="AD8">
    <cfRule type="expression" dxfId="7151" priority="6">
      <formula>$AD$19="FE"</formula>
    </cfRule>
  </conditionalFormatting>
  <conditionalFormatting sqref="AE8">
    <cfRule type="expression" dxfId="7150" priority="5">
      <formula>$AE$19="FE"</formula>
    </cfRule>
  </conditionalFormatting>
  <conditionalFormatting sqref="AF8">
    <cfRule type="expression" dxfId="7149" priority="4">
      <formula>$AF$19="FE"</formula>
    </cfRule>
  </conditionalFormatting>
  <conditionalFormatting sqref="B7:AF7">
    <cfRule type="containsText" dxfId="7148" priority="2" operator="containsText" text="DOM">
      <formula>NOT(ISERROR(SEARCH("DOM",B7)))</formula>
    </cfRule>
    <cfRule type="containsText" dxfId="7147" priority="3" operator="containsText" text="SÁB">
      <formula>NOT(ISERROR(SEARCH("SÁB",B7)))</formula>
    </cfRule>
  </conditionalFormatting>
  <conditionalFormatting sqref="E27">
    <cfRule type="containsText" dxfId="7146" priority="1" operator="containsText" text="FE">
      <formula>NOT(ISERROR(SEARCH("FE",E27)))</formula>
    </cfRule>
  </conditionalFormatting>
  <dataValidations count="5">
    <dataValidation type="list" allowBlank="1" showInputMessage="1" showErrorMessage="1" sqref="B21" xr:uid="{C9301A45-58F4-4501-BD84-2218DC59707A}">
      <formula1>"01/01/2024,01/02/2024,01/03/2024,01/04/2024,01/05/2024,01/06/2024,01/07/2024,01/08/2024,01/09/2024,01/10/2024,01/11/2024,01/12/2024"</formula1>
    </dataValidation>
    <dataValidation type="list" allowBlank="1" showInputMessage="1" showErrorMessage="1" sqref="B19:AF19" xr:uid="{771C27EC-138C-4905-B3E1-95F07EF4A072}">
      <formula1>$AK$10:$AK$11</formula1>
    </dataValidation>
    <dataValidation type="list" allowBlank="1" showInputMessage="1" showErrorMessage="1" sqref="AL10" xr:uid="{2C0FF128-8E28-4D47-87A1-1539958FBEE5}">
      <formula1>"T1,T2,T3,DO,VA,"</formula1>
    </dataValidation>
    <dataValidation type="list" allowBlank="1" showInputMessage="1" showErrorMessage="1" sqref="B25:B27" xr:uid="{763B6BDD-AF82-4D44-878C-BADF0365593A}">
      <formula1>$AL$10:$AL$17</formula1>
    </dataValidation>
    <dataValidation type="list" allowBlank="1" showInputMessage="1" showErrorMessage="1" sqref="B9:AF18" xr:uid="{46B7658F-967E-43EA-A1C6-F32D4403E877}">
      <formula1>$AL$10:$AL$1048576</formula1>
    </dataValidation>
  </dataValidations>
  <pageMargins left="0.51181102362204722" right="0.51181102362204722" top="0.78740157480314965" bottom="0.78740157480314965" header="0.31496062992125984" footer="0.31496062992125984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BE079A-0007-44BC-A3F1-D278ABC463F5}">
          <x14:formula1>
            <xm:f>Configuração!$AL$8:$AL$21</xm:f>
          </x14:formula1>
          <xm:sqref>A9:A18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FB092-0CCE-4617-A1FA-9711ACEB32AB}">
  <sheetPr codeName="Planilha2"/>
  <dimension ref="A1:CA164"/>
  <sheetViews>
    <sheetView tabSelected="1" workbookViewId="0">
      <selection activeCell="W128" sqref="W128:AF128"/>
    </sheetView>
  </sheetViews>
  <sheetFormatPr defaultRowHeight="12.75" x14ac:dyDescent="0.2"/>
  <cols>
    <col min="1" max="1" width="3" style="46" customWidth="1"/>
    <col min="2" max="2" width="7" style="46" customWidth="1"/>
    <col min="3" max="11" width="2" style="46" customWidth="1"/>
    <col min="12" max="12" width="2.140625" style="46" customWidth="1"/>
    <col min="13" max="20" width="2" style="46" customWidth="1"/>
    <col min="21" max="22" width="2.140625" style="46" customWidth="1"/>
    <col min="23" max="71" width="2" style="46" customWidth="1"/>
    <col min="72" max="72" width="2.140625" style="46" customWidth="1"/>
    <col min="73" max="74" width="0.140625" style="46" customWidth="1"/>
    <col min="75" max="75" width="9.140625" style="46"/>
    <col min="76" max="76" width="0" style="46" hidden="1" customWidth="1"/>
    <col min="77" max="77" width="17.85546875" style="46" hidden="1" customWidth="1"/>
    <col min="78" max="78" width="0" style="46" hidden="1" customWidth="1"/>
    <col min="79" max="79" width="15.5703125" style="46" hidden="1" customWidth="1"/>
    <col min="80" max="16384" width="9.140625" style="46"/>
  </cols>
  <sheetData>
    <row r="1" spans="1:79" s="17" customFormat="1" ht="30.75" customHeight="1" x14ac:dyDescent="0.25">
      <c r="A1" s="40"/>
      <c r="B1" s="41"/>
      <c r="C1" s="42"/>
      <c r="D1" s="43"/>
      <c r="E1" s="42"/>
      <c r="F1" s="42"/>
      <c r="G1" s="42"/>
      <c r="H1" s="42"/>
      <c r="I1" s="44"/>
      <c r="J1" s="45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0"/>
      <c r="AR1" s="40"/>
      <c r="AS1" s="42"/>
      <c r="AT1" s="43"/>
      <c r="AU1" s="42"/>
      <c r="AV1" s="42"/>
      <c r="AW1" s="42"/>
      <c r="AX1" s="42"/>
      <c r="AY1" s="44"/>
      <c r="AZ1" s="45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58"/>
      <c r="BX1" s="58"/>
      <c r="BY1" s="58"/>
      <c r="BZ1" s="58"/>
    </row>
    <row r="2" spans="1:79" s="17" customFormat="1" ht="58.5" customHeight="1" thickBot="1" x14ac:dyDescent="0.3">
      <c r="A2" s="42"/>
      <c r="B2" s="42"/>
      <c r="C2" s="42"/>
      <c r="D2" s="43"/>
      <c r="E2" s="42"/>
      <c r="F2" s="42"/>
      <c r="G2" s="42"/>
      <c r="H2" s="42"/>
      <c r="I2" s="44"/>
      <c r="J2" s="45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3"/>
      <c r="AU2" s="42"/>
      <c r="AV2" s="42"/>
      <c r="AW2" s="42"/>
      <c r="AX2" s="42"/>
      <c r="AY2" s="44"/>
      <c r="AZ2" s="45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</row>
    <row r="3" spans="1:79" ht="13.5" thickBot="1" x14ac:dyDescent="0.25">
      <c r="A3" s="202" t="s">
        <v>0</v>
      </c>
      <c r="B3" s="195" t="str">
        <f>UPPER(TEXT(Configuração!D9,"[$]ddd"))</f>
        <v>QUA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5" t="str">
        <f>UPPER(TEXT(Configuração!E8,"[$]ddd"))</f>
        <v>QUI</v>
      </c>
      <c r="N3" s="196"/>
      <c r="O3" s="196"/>
      <c r="P3" s="196"/>
      <c r="Q3" s="196"/>
      <c r="R3" s="196"/>
      <c r="S3" s="196"/>
      <c r="T3" s="196"/>
      <c r="U3" s="196"/>
      <c r="V3" s="197"/>
      <c r="W3" s="195" t="str">
        <f>UPPER(TEXT(Configuração!F9,"[$]ddd"))</f>
        <v>SEX</v>
      </c>
      <c r="X3" s="196"/>
      <c r="Y3" s="196"/>
      <c r="Z3" s="196"/>
      <c r="AA3" s="196"/>
      <c r="AB3" s="196"/>
      <c r="AC3" s="196"/>
      <c r="AD3" s="196"/>
      <c r="AE3" s="196"/>
      <c r="AF3" s="197"/>
      <c r="AG3" s="195" t="str">
        <f>UPPER(TEXT(Configuração!G9,"[$]ddd"))</f>
        <v>SÁB</v>
      </c>
      <c r="AH3" s="196"/>
      <c r="AI3" s="196"/>
      <c r="AJ3" s="196"/>
      <c r="AK3" s="196"/>
      <c r="AL3" s="196"/>
      <c r="AM3" s="196"/>
      <c r="AN3" s="196"/>
      <c r="AO3" s="196"/>
      <c r="AP3" s="197"/>
      <c r="AQ3" s="195" t="str">
        <f>UPPER(TEXT(Configuração!H9,"[$]ddd"))</f>
        <v>DOM</v>
      </c>
      <c r="AR3" s="196"/>
      <c r="AS3" s="196"/>
      <c r="AT3" s="196"/>
      <c r="AU3" s="196"/>
      <c r="AV3" s="196"/>
      <c r="AW3" s="196"/>
      <c r="AX3" s="196"/>
      <c r="AY3" s="196"/>
      <c r="AZ3" s="197"/>
      <c r="BA3" s="195" t="str">
        <f>UPPER(TEXT(Configuração!I9,"[$]ddd"))</f>
        <v>SEG</v>
      </c>
      <c r="BB3" s="196"/>
      <c r="BC3" s="196"/>
      <c r="BD3" s="196"/>
      <c r="BE3" s="196"/>
      <c r="BF3" s="196"/>
      <c r="BG3" s="196"/>
      <c r="BH3" s="196"/>
      <c r="BI3" s="196"/>
      <c r="BJ3" s="197"/>
      <c r="BK3" s="195" t="str">
        <f>UPPER(TEXT(Configuração!J9,"[$]ddd"))</f>
        <v>TER</v>
      </c>
      <c r="BL3" s="196"/>
      <c r="BM3" s="196"/>
      <c r="BN3" s="196"/>
      <c r="BO3" s="196"/>
      <c r="BP3" s="196"/>
      <c r="BQ3" s="196"/>
      <c r="BR3" s="196"/>
      <c r="BS3" s="196"/>
      <c r="BT3" s="197"/>
      <c r="BU3" s="1"/>
      <c r="BV3" s="1"/>
    </row>
    <row r="4" spans="1:79" ht="15.75" customHeight="1" thickBot="1" x14ac:dyDescent="0.25">
      <c r="A4" s="203"/>
      <c r="B4" s="198"/>
      <c r="C4" s="205">
        <f>Configuração!D9</f>
        <v>45413</v>
      </c>
      <c r="D4" s="206"/>
      <c r="E4" s="206"/>
      <c r="F4" s="206"/>
      <c r="G4" s="206"/>
      <c r="H4" s="206"/>
      <c r="I4" s="206"/>
      <c r="J4" s="206"/>
      <c r="K4" s="206"/>
      <c r="L4" s="207"/>
      <c r="M4" s="205">
        <f>Configuração!E9</f>
        <v>45414</v>
      </c>
      <c r="N4" s="206"/>
      <c r="O4" s="206"/>
      <c r="P4" s="206"/>
      <c r="Q4" s="206"/>
      <c r="R4" s="206"/>
      <c r="S4" s="206"/>
      <c r="T4" s="206"/>
      <c r="U4" s="206"/>
      <c r="V4" s="207"/>
      <c r="W4" s="205">
        <f>Configuração!F9</f>
        <v>45415</v>
      </c>
      <c r="X4" s="206"/>
      <c r="Y4" s="206"/>
      <c r="Z4" s="206"/>
      <c r="AA4" s="206"/>
      <c r="AB4" s="206"/>
      <c r="AC4" s="206"/>
      <c r="AD4" s="206"/>
      <c r="AE4" s="206"/>
      <c r="AF4" s="207"/>
      <c r="AG4" s="205">
        <f>Configuração!G9</f>
        <v>45416</v>
      </c>
      <c r="AH4" s="206"/>
      <c r="AI4" s="206"/>
      <c r="AJ4" s="206"/>
      <c r="AK4" s="206"/>
      <c r="AL4" s="206"/>
      <c r="AM4" s="206"/>
      <c r="AN4" s="206"/>
      <c r="AO4" s="206"/>
      <c r="AP4" s="207"/>
      <c r="AQ4" s="205">
        <f>Configuração!H9</f>
        <v>45417</v>
      </c>
      <c r="AR4" s="206"/>
      <c r="AS4" s="206"/>
      <c r="AT4" s="206"/>
      <c r="AU4" s="206"/>
      <c r="AV4" s="206"/>
      <c r="AW4" s="206"/>
      <c r="AX4" s="206"/>
      <c r="AY4" s="206"/>
      <c r="AZ4" s="207"/>
      <c r="BA4" s="205">
        <f>Configuração!I9</f>
        <v>45418</v>
      </c>
      <c r="BB4" s="206"/>
      <c r="BC4" s="206"/>
      <c r="BD4" s="206"/>
      <c r="BE4" s="206"/>
      <c r="BF4" s="206"/>
      <c r="BG4" s="206"/>
      <c r="BH4" s="206"/>
      <c r="BI4" s="206"/>
      <c r="BJ4" s="207"/>
      <c r="BK4" s="205">
        <f>Configuração!J9</f>
        <v>45419</v>
      </c>
      <c r="BL4" s="206"/>
      <c r="BM4" s="206"/>
      <c r="BN4" s="206"/>
      <c r="BO4" s="206"/>
      <c r="BP4" s="206"/>
      <c r="BQ4" s="206"/>
      <c r="BR4" s="206"/>
      <c r="BS4" s="206"/>
      <c r="BT4" s="207"/>
      <c r="BU4" s="1"/>
      <c r="BV4" s="1"/>
      <c r="BX4" s="131" t="str" cm="1">
        <f t="array" ref="BX4:BZ22">Configuração!AK7:AM25</f>
        <v>Feriados</v>
      </c>
      <c r="BY4" s="132" t="str">
        <v>Lista Funcionários</v>
      </c>
      <c r="BZ4" s="132" t="str">
        <v>Férias</v>
      </c>
      <c r="CA4" s="133" t="s">
        <v>79</v>
      </c>
    </row>
    <row r="5" spans="1:79" ht="15" customHeight="1" thickBot="1" x14ac:dyDescent="0.25">
      <c r="A5" s="203"/>
      <c r="B5" s="199"/>
      <c r="C5" s="64">
        <v>1</v>
      </c>
      <c r="D5" s="65">
        <v>2</v>
      </c>
      <c r="E5" s="66">
        <v>3</v>
      </c>
      <c r="F5" s="66">
        <v>4</v>
      </c>
      <c r="G5" s="66">
        <v>5</v>
      </c>
      <c r="H5" s="65">
        <v>6</v>
      </c>
      <c r="I5" s="147">
        <v>7</v>
      </c>
      <c r="J5" s="65">
        <v>8</v>
      </c>
      <c r="K5" s="65">
        <v>9</v>
      </c>
      <c r="L5" s="63">
        <v>10</v>
      </c>
      <c r="M5" s="64">
        <v>1</v>
      </c>
      <c r="N5" s="65">
        <v>2</v>
      </c>
      <c r="O5" s="66">
        <v>3</v>
      </c>
      <c r="P5" s="66">
        <v>4</v>
      </c>
      <c r="Q5" s="66">
        <v>5</v>
      </c>
      <c r="R5" s="65">
        <v>6</v>
      </c>
      <c r="S5" s="147">
        <v>7</v>
      </c>
      <c r="T5" s="65">
        <v>8</v>
      </c>
      <c r="U5" s="65">
        <v>9</v>
      </c>
      <c r="V5" s="63">
        <v>10</v>
      </c>
      <c r="W5" s="64">
        <v>1</v>
      </c>
      <c r="X5" s="65">
        <v>2</v>
      </c>
      <c r="Y5" s="66">
        <v>3</v>
      </c>
      <c r="Z5" s="66">
        <v>4</v>
      </c>
      <c r="AA5" s="66">
        <v>5</v>
      </c>
      <c r="AB5" s="65">
        <v>6</v>
      </c>
      <c r="AC5" s="147">
        <v>7</v>
      </c>
      <c r="AD5" s="65">
        <v>8</v>
      </c>
      <c r="AE5" s="65">
        <v>9</v>
      </c>
      <c r="AF5" s="63">
        <v>10</v>
      </c>
      <c r="AG5" s="64">
        <v>1</v>
      </c>
      <c r="AH5" s="65">
        <v>2</v>
      </c>
      <c r="AI5" s="66">
        <v>3</v>
      </c>
      <c r="AJ5" s="66">
        <v>4</v>
      </c>
      <c r="AK5" s="66">
        <v>5</v>
      </c>
      <c r="AL5" s="65">
        <v>6</v>
      </c>
      <c r="AM5" s="147">
        <v>7</v>
      </c>
      <c r="AN5" s="65">
        <v>8</v>
      </c>
      <c r="AO5" s="65">
        <v>9</v>
      </c>
      <c r="AP5" s="63">
        <v>10</v>
      </c>
      <c r="AQ5" s="64">
        <v>1</v>
      </c>
      <c r="AR5" s="65">
        <v>2</v>
      </c>
      <c r="AS5" s="66">
        <v>3</v>
      </c>
      <c r="AT5" s="66">
        <v>4</v>
      </c>
      <c r="AU5" s="66">
        <v>5</v>
      </c>
      <c r="AV5" s="65">
        <v>6</v>
      </c>
      <c r="AW5" s="147">
        <v>7</v>
      </c>
      <c r="AX5" s="65">
        <v>8</v>
      </c>
      <c r="AY5" s="65">
        <v>9</v>
      </c>
      <c r="AZ5" s="63">
        <v>10</v>
      </c>
      <c r="BA5" s="64">
        <v>1</v>
      </c>
      <c r="BB5" s="65">
        <v>2</v>
      </c>
      <c r="BC5" s="66">
        <v>3</v>
      </c>
      <c r="BD5" s="66">
        <v>4</v>
      </c>
      <c r="BE5" s="66">
        <v>5</v>
      </c>
      <c r="BF5" s="65">
        <v>6</v>
      </c>
      <c r="BG5" s="147">
        <v>7</v>
      </c>
      <c r="BH5" s="65">
        <v>8</v>
      </c>
      <c r="BI5" s="65">
        <v>9</v>
      </c>
      <c r="BJ5" s="63">
        <v>10</v>
      </c>
      <c r="BK5" s="64">
        <v>1</v>
      </c>
      <c r="BL5" s="65">
        <v>2</v>
      </c>
      <c r="BM5" s="66">
        <v>3</v>
      </c>
      <c r="BN5" s="66">
        <v>4</v>
      </c>
      <c r="BO5" s="66">
        <v>5</v>
      </c>
      <c r="BP5" s="65">
        <v>6</v>
      </c>
      <c r="BQ5" s="147">
        <v>7</v>
      </c>
      <c r="BR5" s="65">
        <v>8</v>
      </c>
      <c r="BS5" s="65">
        <v>9</v>
      </c>
      <c r="BT5" s="101">
        <v>10</v>
      </c>
      <c r="BU5" s="1"/>
      <c r="BV5" s="1"/>
      <c r="BX5" s="108" t="str">
        <v xml:space="preserve">Feriado </v>
      </c>
      <c r="BY5" s="109" t="str">
        <v>Danilo</v>
      </c>
      <c r="BZ5" s="109">
        <v>0</v>
      </c>
      <c r="CA5" s="110"/>
    </row>
    <row r="6" spans="1:79" ht="15" customHeight="1" thickBot="1" x14ac:dyDescent="0.25">
      <c r="A6" s="203"/>
      <c r="B6" s="138" t="s">
        <v>1</v>
      </c>
      <c r="C6" s="27"/>
      <c r="D6" s="20"/>
      <c r="E6" s="20"/>
      <c r="F6" s="21"/>
      <c r="G6" s="20"/>
      <c r="H6" s="20"/>
      <c r="I6" s="20"/>
      <c r="J6" s="19"/>
      <c r="K6" s="20"/>
      <c r="L6" s="25"/>
      <c r="M6" s="27"/>
      <c r="N6" s="20"/>
      <c r="O6" s="20"/>
      <c r="P6" s="21"/>
      <c r="Q6" s="20"/>
      <c r="R6" s="20"/>
      <c r="S6" s="20"/>
      <c r="T6" s="19"/>
      <c r="U6" s="20"/>
      <c r="V6" s="25"/>
      <c r="W6" s="27"/>
      <c r="X6" s="20"/>
      <c r="Y6" s="20"/>
      <c r="Z6" s="21"/>
      <c r="AA6" s="20"/>
      <c r="AB6" s="20"/>
      <c r="AC6" s="20"/>
      <c r="AD6" s="19"/>
      <c r="AE6" s="20"/>
      <c r="AF6" s="25"/>
      <c r="AG6" s="27"/>
      <c r="AH6" s="20"/>
      <c r="AI6" s="20"/>
      <c r="AJ6" s="21"/>
      <c r="AK6" s="20"/>
      <c r="AL6" s="20"/>
      <c r="AM6" s="20"/>
      <c r="AN6" s="19"/>
      <c r="AO6" s="20"/>
      <c r="AP6" s="25"/>
      <c r="AQ6" s="27"/>
      <c r="AR6" s="20"/>
      <c r="AS6" s="20"/>
      <c r="AT6" s="21"/>
      <c r="AU6" s="20"/>
      <c r="AV6" s="20"/>
      <c r="AW6" s="20"/>
      <c r="AX6" s="19"/>
      <c r="AY6" s="20"/>
      <c r="AZ6" s="25"/>
      <c r="BA6" s="27"/>
      <c r="BB6" s="20"/>
      <c r="BC6" s="20"/>
      <c r="BD6" s="21"/>
      <c r="BE6" s="20"/>
      <c r="BF6" s="20"/>
      <c r="BG6" s="20"/>
      <c r="BH6" s="19"/>
      <c r="BI6" s="20"/>
      <c r="BJ6" s="25"/>
      <c r="BK6" s="27"/>
      <c r="BL6" s="20"/>
      <c r="BM6" s="20"/>
      <c r="BN6" s="21"/>
      <c r="BO6" s="20"/>
      <c r="BP6" s="20"/>
      <c r="BQ6" s="20"/>
      <c r="BR6" s="19"/>
      <c r="BS6" s="20"/>
      <c r="BT6" s="25"/>
      <c r="BU6" s="1"/>
      <c r="BV6" s="1"/>
      <c r="BX6" s="108">
        <v>0</v>
      </c>
      <c r="BY6" s="109" t="str">
        <v>Luciano</v>
      </c>
      <c r="BZ6" s="109">
        <v>1</v>
      </c>
      <c r="CA6" s="111"/>
    </row>
    <row r="7" spans="1:79" ht="15" customHeight="1" thickBot="1" x14ac:dyDescent="0.25">
      <c r="A7" s="203"/>
      <c r="B7" s="139" t="s">
        <v>75</v>
      </c>
      <c r="C7" s="28"/>
      <c r="D7" s="20"/>
      <c r="E7" s="20"/>
      <c r="F7" s="20"/>
      <c r="G7" s="20"/>
      <c r="H7" s="20"/>
      <c r="I7" s="20"/>
      <c r="J7" s="18"/>
      <c r="K7" s="184">
        <f>IF(Configuração!D18=EscalaLinear!BY5,10,IF(Configuração!D18=BY6,9,IF(Configuração!D18=BY7,8,IF(Configuração!D18=BY8,7,IF(Configuração!D18=BY9,6,IF(Configuração!D18=BY10,5,IF(Configuração!D18=BY11,4,IF(Configuração!D18=BY12,3,IF(Configuração!D18=BY13,2,IF(Configuração!D18=BY14,1,""))))))))))</f>
        <v>9</v>
      </c>
      <c r="L7" s="190">
        <f>IF(Configuração!D19=EscalaLinear!BY5,10,IF(Configuração!D19=BY6,9,IF(Configuração!D19=BY7,8,IF(Configuração!D19=BY8,7,IF(Configuração!D19=BY9,6,IF(Configuração!D19=BY10,5,IF(Configuração!D19=BY11,4,IF(Configuração!D19=BY12,3,IF(Configuração!D19=BY13,2,IF(Configuração!D19=BY14,1,""))))))))))</f>
        <v>4</v>
      </c>
      <c r="M7" s="28"/>
      <c r="N7" s="20"/>
      <c r="O7" s="20"/>
      <c r="P7" s="20"/>
      <c r="Q7" s="20"/>
      <c r="R7" s="20"/>
      <c r="S7" s="20"/>
      <c r="T7" s="18"/>
      <c r="U7" s="184">
        <f>IF(Configuração!E18=EscalaLinear!BY5,10,IF(Configuração!E18=BY6,9,IF(Configuração!E18=BY7,8,IF(Configuração!E18=BY8,7,IF(Configuração!E18=BY9,6,IF(Configuração!E18=BY10,5,IF(Configuração!E18=BY11,4,IF(Configuração!E18=BY12,3,IF(Configuração!E18=BY13,2,IF(Configuração!E18=BY14,1,""))))))))))</f>
        <v>5</v>
      </c>
      <c r="V7" s="190" t="str">
        <f>IF(Configuração!E19=EscalaLinear!BY5,10,IF(Configuração!E19=BY6,9,IF(Configuração!E19=BY7,8,IF(Configuração!E19=BY8,7,IF(Configuração!E19=BY9,6,IF(Configuração!E19=BY10,5,IF(Configuração!E19=BY11,4,IF(Configuração!E19=BY12,3,IF(Configuração!E19=BY13,2,IF(Configuração!E19=BY14,1,""))))))))))</f>
        <v/>
      </c>
      <c r="W7" s="28"/>
      <c r="X7" s="20"/>
      <c r="Y7" s="20"/>
      <c r="Z7" s="20"/>
      <c r="AA7" s="20"/>
      <c r="AB7" s="20"/>
      <c r="AC7" s="20"/>
      <c r="AD7" s="18"/>
      <c r="AE7" s="184">
        <f>IF(Configuração!F18=EscalaLinear!BY5,10,IF(Configuração!F18=BY6,9,IF(Configuração!F18=BY7,8,IF(Configuração!F18=BY8,7,IF(Configuração!F18=BY9,6,IF(Configuração!F18=BY10,5,IF(Configuração!F18=BY11,4,IF(Configuração!F18=BY12,3,IF(Configuração!F18=BY13,2,IF(Configuração!F18=BY14,1,""))))))))))</f>
        <v>9</v>
      </c>
      <c r="AF7" s="190">
        <f>IF(Configuração!F19=EscalaLinear!BY5,10,IF(Configuração!F19=BY6,9,IF(Configuração!F19=BY7,8,IF(Configuração!F19=BY8,7,IF(Configuração!F19=BY9,6,IF(Configuração!F19=BY10,5,IF(Configuração!F19=BY11,4,IF(Configuração!F19=BY12,3,IF(Configuração!F19=BY13,2,IF(Configuração!F19=BY14,1,""))))))))))</f>
        <v>8</v>
      </c>
      <c r="AG7" s="28"/>
      <c r="AH7" s="20"/>
      <c r="AI7" s="20"/>
      <c r="AJ7" s="20"/>
      <c r="AK7" s="20"/>
      <c r="AL7" s="20"/>
      <c r="AM7" s="20"/>
      <c r="AN7" s="18"/>
      <c r="AO7" s="184">
        <f>IF(Configuração!G18=EscalaLinear!BY5,10,IF(Configuração!G18=BY6,9,IF(Configuração!G18=BY7,8,IF(Configuração!G18=BY8,7,IF(Configuração!G18=BY9,6,IF(Configuração!G18=BY10,5,IF(Configuração!G18=BY11,4,IF(Configuração!G18=BY12,3,IF(Configuração!G18=BY13,2,IF(Configuração!G18=BY14,1,""))))))))))</f>
        <v>7</v>
      </c>
      <c r="AP7" s="190" t="str">
        <f>IF(Configuração!G19=EscalaLinear!BY5,10,IF(Configuração!G19=BY6,9,IF(Configuração!G19=BY7,8,IF(Configuração!G19=BY8,7,IF(Configuração!G19=BY9,6,IF(Configuração!G19=BY10,5,IF(Configuração!G19=BY11,4,IF(Configuração!G19=BY12,3,IF(Configuração!G19=BY13,2,IF(Configuração!G19=BY14,1,""))))))))))</f>
        <v/>
      </c>
      <c r="AQ7" s="28"/>
      <c r="AR7" s="20"/>
      <c r="AS7" s="20"/>
      <c r="AT7" s="20"/>
      <c r="AU7" s="20"/>
      <c r="AV7" s="20"/>
      <c r="AW7" s="20"/>
      <c r="AX7" s="18"/>
      <c r="AY7" s="184" t="str">
        <f>IF(Configuração!H18=EscalaLinear!BY5,10,IF(Configuração!H18=BY6,9,IF(Configuração!H18=BY7,8,IF(Configuração!H18=BY8,7,IF(Configuração!H18=BY9,6,IF(Configuração!H18=BY10,5,IF(Configuração!H18=BY11,4,IF(Configuração!H18=BY12,3,IF(Configuração!H18=BY13,2,IF(Configuração!H18=BY14,1,""))))))))))</f>
        <v/>
      </c>
      <c r="AZ7" s="190" t="str">
        <f>IF(Configuração!H19=EscalaLinear!BY5,10,IF(Configuração!H19=BY6,9,IF(Configuração!H19=BY7,8,IF(Configuração!H19=BY8,7,IF(Configuração!H19=BY9,6,IF(Configuração!H19=BY10,5,IF(Configuração!H19=BY11,4,IF(Configuração!H19=BY12,3,IF(Configuração!H19=BY13,2,IF(Configuração!H19=BY14,1,""))))))))))</f>
        <v/>
      </c>
      <c r="BA7" s="28"/>
      <c r="BB7" s="20"/>
      <c r="BC7" s="20"/>
      <c r="BD7" s="20"/>
      <c r="BE7" s="20"/>
      <c r="BF7" s="20"/>
      <c r="BG7" s="20"/>
      <c r="BH7" s="18"/>
      <c r="BI7" s="184" t="str">
        <f>IF(Configuração!I18=EscalaLinear!BY5,10,IF(Configuração!I10=BY6,9,IF(Configuração!I18=BY7,8,IF(Configuração!I18=BY8,7,IF(Configuração!I18=BY9,6,IF(Configuração!I18=BY10,5,IF(Configuração!I18=BY11,4,IF(Configuração!I18=BY12,3,IF(Configuração!I18=BY13,2,IF(Configuração!I18=BY14,1,""))))))))))</f>
        <v/>
      </c>
      <c r="BJ7" s="190" t="str">
        <f>IF(Configuração!I19=EscalaLinear!BY5,10,IF(Configuração!I19=BY6,9,IF(Configuração!I19=BY7,8,IF(Configuração!I19=BY8,7,IF(Configuração!I19=BY9,6,IF(Configuração!I19=BY10,5,IF(Configuração!I19=BY11,4,IF(Configuração!I19=BY12,3,IF(Configuração!I19=BY13,2,IF(Configuração!I19=BY14,1,""))))))))))</f>
        <v/>
      </c>
      <c r="BK7" s="28"/>
      <c r="BL7" s="20"/>
      <c r="BM7" s="20"/>
      <c r="BN7" s="20"/>
      <c r="BO7" s="20"/>
      <c r="BP7" s="20"/>
      <c r="BQ7" s="20"/>
      <c r="BR7" s="18"/>
      <c r="BS7" s="184" t="str">
        <f>IF(Configuração!J18=EscalaLinear!BY5,10,IF(Configuração!J18=BY6,9,IF(Configuração!J18=BY7,8,IF(Configuração!J18=BY8,7,IF(Configuração!J18=BY9,6,IF(Configuração!J18=BY10,5,IF(Configuração!J18=BY11,4,IF(Configuração!J18=BY12,3,IF(Configuração!J18=BY13,2,IF(Configuração!J18=BY14,1,""))))))))))</f>
        <v/>
      </c>
      <c r="BT7" s="190" t="str">
        <f>IF(Configuração!J19=EscalaLinear!BY5,10,IF(Configuração!J19=BY6,9,IF(Configuração!J19=BY7,8,IF(Configuração!J19=BY8,7,IF(Configuração!J19=BY9,6,IF(Configuração!J19=BY10,5,IF(Configuração!J19=BY11,4,IF(Configuração!J19=BY12,3,IF(Configuração!J19=BY13,2,IF(Configuração!J19=BY14,1,""))))))))))</f>
        <v/>
      </c>
      <c r="BU7" s="1"/>
      <c r="BV7" s="1"/>
      <c r="BX7" s="108">
        <v>0</v>
      </c>
      <c r="BY7" s="109" t="str">
        <v>Henrique</v>
      </c>
      <c r="BZ7" s="109">
        <v>0</v>
      </c>
      <c r="CA7" s="112"/>
    </row>
    <row r="8" spans="1:79" ht="15" customHeight="1" thickBot="1" x14ac:dyDescent="0.25">
      <c r="A8" s="203"/>
      <c r="B8" s="138" t="s">
        <v>2</v>
      </c>
      <c r="C8" s="28"/>
      <c r="D8" s="20"/>
      <c r="E8" s="20"/>
      <c r="F8" s="20"/>
      <c r="G8" s="20"/>
      <c r="H8" s="20"/>
      <c r="I8" s="20"/>
      <c r="J8" s="18"/>
      <c r="K8" s="185"/>
      <c r="L8" s="191"/>
      <c r="M8" s="28"/>
      <c r="N8" s="20"/>
      <c r="O8" s="20"/>
      <c r="P8" s="20"/>
      <c r="Q8" s="20"/>
      <c r="R8" s="20"/>
      <c r="S8" s="20"/>
      <c r="T8" s="18"/>
      <c r="U8" s="185"/>
      <c r="V8" s="191"/>
      <c r="W8" s="28"/>
      <c r="X8" s="20"/>
      <c r="Y8" s="20"/>
      <c r="Z8" s="20"/>
      <c r="AA8" s="20"/>
      <c r="AB8" s="20"/>
      <c r="AC8" s="20"/>
      <c r="AD8" s="18"/>
      <c r="AE8" s="185"/>
      <c r="AF8" s="191"/>
      <c r="AG8" s="28"/>
      <c r="AH8" s="20"/>
      <c r="AI8" s="20"/>
      <c r="AJ8" s="20"/>
      <c r="AK8" s="20"/>
      <c r="AL8" s="20"/>
      <c r="AM8" s="20"/>
      <c r="AN8" s="18"/>
      <c r="AO8" s="185"/>
      <c r="AP8" s="191"/>
      <c r="AQ8" s="28"/>
      <c r="AR8" s="20"/>
      <c r="AS8" s="20"/>
      <c r="AT8" s="20"/>
      <c r="AU8" s="20"/>
      <c r="AV8" s="20"/>
      <c r="AW8" s="20"/>
      <c r="AX8" s="18"/>
      <c r="AY8" s="185"/>
      <c r="AZ8" s="191"/>
      <c r="BA8" s="28"/>
      <c r="BB8" s="20"/>
      <c r="BC8" s="20"/>
      <c r="BD8" s="20"/>
      <c r="BE8" s="20"/>
      <c r="BF8" s="20"/>
      <c r="BG8" s="20"/>
      <c r="BH8" s="18"/>
      <c r="BI8" s="185"/>
      <c r="BJ8" s="191"/>
      <c r="BK8" s="28"/>
      <c r="BL8" s="20"/>
      <c r="BM8" s="20"/>
      <c r="BN8" s="20"/>
      <c r="BO8" s="20"/>
      <c r="BP8" s="20"/>
      <c r="BQ8" s="20"/>
      <c r="BR8" s="18"/>
      <c r="BS8" s="185"/>
      <c r="BT8" s="191"/>
      <c r="BU8" s="1"/>
      <c r="BV8" s="1"/>
      <c r="BX8" s="108">
        <v>0</v>
      </c>
      <c r="BY8" s="109" t="str">
        <v>Eduardo</v>
      </c>
      <c r="BZ8" s="109">
        <v>0</v>
      </c>
      <c r="CA8" s="113"/>
    </row>
    <row r="9" spans="1:79" ht="15" customHeight="1" thickBot="1" x14ac:dyDescent="0.25">
      <c r="A9" s="203"/>
      <c r="B9" s="138" t="s">
        <v>3</v>
      </c>
      <c r="C9" s="28"/>
      <c r="D9" s="20"/>
      <c r="E9" s="20"/>
      <c r="F9" s="20"/>
      <c r="G9" s="20"/>
      <c r="H9" s="20"/>
      <c r="I9" s="20"/>
      <c r="J9" s="18"/>
      <c r="K9" s="185"/>
      <c r="L9" s="191"/>
      <c r="M9" s="28"/>
      <c r="N9" s="20"/>
      <c r="O9" s="20"/>
      <c r="P9" s="20"/>
      <c r="Q9" s="20"/>
      <c r="R9" s="20"/>
      <c r="S9" s="20"/>
      <c r="T9" s="18"/>
      <c r="U9" s="185"/>
      <c r="V9" s="191"/>
      <c r="W9" s="28"/>
      <c r="X9" s="20"/>
      <c r="Y9" s="20"/>
      <c r="Z9" s="20"/>
      <c r="AA9" s="20"/>
      <c r="AB9" s="20"/>
      <c r="AC9" s="20"/>
      <c r="AD9" s="18"/>
      <c r="AE9" s="185"/>
      <c r="AF9" s="191"/>
      <c r="AG9" s="28"/>
      <c r="AH9" s="20"/>
      <c r="AI9" s="20"/>
      <c r="AJ9" s="20"/>
      <c r="AK9" s="20"/>
      <c r="AL9" s="20"/>
      <c r="AM9" s="20"/>
      <c r="AN9" s="18"/>
      <c r="AO9" s="185"/>
      <c r="AP9" s="191"/>
      <c r="AQ9" s="28"/>
      <c r="AR9" s="20"/>
      <c r="AS9" s="20"/>
      <c r="AT9" s="20"/>
      <c r="AU9" s="20"/>
      <c r="AV9" s="20"/>
      <c r="AW9" s="20"/>
      <c r="AX9" s="18"/>
      <c r="AY9" s="185"/>
      <c r="AZ9" s="191"/>
      <c r="BA9" s="28"/>
      <c r="BB9" s="20"/>
      <c r="BC9" s="20"/>
      <c r="BD9" s="20"/>
      <c r="BE9" s="20"/>
      <c r="BF9" s="20"/>
      <c r="BG9" s="20"/>
      <c r="BH9" s="18"/>
      <c r="BI9" s="185"/>
      <c r="BJ9" s="191"/>
      <c r="BK9" s="28"/>
      <c r="BL9" s="20"/>
      <c r="BM9" s="20"/>
      <c r="BN9" s="20"/>
      <c r="BO9" s="20"/>
      <c r="BP9" s="20"/>
      <c r="BQ9" s="20"/>
      <c r="BR9" s="18"/>
      <c r="BS9" s="185"/>
      <c r="BT9" s="191"/>
      <c r="BU9" s="1"/>
      <c r="BV9" s="1"/>
      <c r="BX9" s="108">
        <v>0</v>
      </c>
      <c r="BY9" s="109" t="str">
        <v>Renato</v>
      </c>
      <c r="BZ9" s="109">
        <v>0</v>
      </c>
      <c r="CA9" s="114"/>
    </row>
    <row r="10" spans="1:79" ht="15" customHeight="1" thickBot="1" x14ac:dyDescent="0.25">
      <c r="A10" s="203"/>
      <c r="B10" s="138" t="s">
        <v>4</v>
      </c>
      <c r="C10" s="28"/>
      <c r="D10" s="20"/>
      <c r="E10" s="20"/>
      <c r="F10" s="20"/>
      <c r="G10" s="20"/>
      <c r="H10" s="20"/>
      <c r="I10" s="20"/>
      <c r="J10" s="18"/>
      <c r="K10" s="185"/>
      <c r="L10" s="191"/>
      <c r="M10" s="28"/>
      <c r="N10" s="20"/>
      <c r="O10" s="20"/>
      <c r="P10" s="20"/>
      <c r="Q10" s="20"/>
      <c r="R10" s="20"/>
      <c r="S10" s="20"/>
      <c r="T10" s="18"/>
      <c r="U10" s="185"/>
      <c r="V10" s="191"/>
      <c r="W10" s="28"/>
      <c r="X10" s="20"/>
      <c r="Y10" s="20"/>
      <c r="Z10" s="20"/>
      <c r="AA10" s="20"/>
      <c r="AB10" s="20"/>
      <c r="AC10" s="20"/>
      <c r="AD10" s="18"/>
      <c r="AE10" s="185"/>
      <c r="AF10" s="191"/>
      <c r="AG10" s="28"/>
      <c r="AH10" s="20"/>
      <c r="AI10" s="20"/>
      <c r="AJ10" s="20"/>
      <c r="AK10" s="20"/>
      <c r="AL10" s="20"/>
      <c r="AM10" s="20"/>
      <c r="AN10" s="18"/>
      <c r="AO10" s="185"/>
      <c r="AP10" s="191"/>
      <c r="AQ10" s="28"/>
      <c r="AR10" s="20"/>
      <c r="AS10" s="20"/>
      <c r="AT10" s="20"/>
      <c r="AU10" s="20"/>
      <c r="AV10" s="20"/>
      <c r="AW10" s="20"/>
      <c r="AX10" s="18"/>
      <c r="AY10" s="185"/>
      <c r="AZ10" s="191"/>
      <c r="BA10" s="28"/>
      <c r="BB10" s="20"/>
      <c r="BC10" s="20"/>
      <c r="BD10" s="20"/>
      <c r="BE10" s="20"/>
      <c r="BF10" s="20"/>
      <c r="BG10" s="20"/>
      <c r="BH10" s="18"/>
      <c r="BI10" s="185"/>
      <c r="BJ10" s="191"/>
      <c r="BK10" s="28"/>
      <c r="BL10" s="20"/>
      <c r="BM10" s="20"/>
      <c r="BN10" s="20"/>
      <c r="BO10" s="20"/>
      <c r="BP10" s="20"/>
      <c r="BQ10" s="20"/>
      <c r="BR10" s="18"/>
      <c r="BS10" s="185"/>
      <c r="BT10" s="191"/>
      <c r="BU10" s="1"/>
      <c r="BV10" s="1"/>
      <c r="BX10" s="108">
        <v>0</v>
      </c>
      <c r="BY10" s="109" t="str">
        <v>Rafael</v>
      </c>
      <c r="BZ10" s="109">
        <v>0</v>
      </c>
      <c r="CA10" s="115"/>
    </row>
    <row r="11" spans="1:79" ht="15" customHeight="1" thickBot="1" x14ac:dyDescent="0.25">
      <c r="A11" s="203"/>
      <c r="B11" s="138" t="s">
        <v>5</v>
      </c>
      <c r="C11" s="28"/>
      <c r="D11" s="20"/>
      <c r="E11" s="20"/>
      <c r="F11" s="20"/>
      <c r="G11" s="20"/>
      <c r="H11" s="22"/>
      <c r="I11" s="20"/>
      <c r="J11" s="18"/>
      <c r="K11" s="185"/>
      <c r="L11" s="191"/>
      <c r="M11" s="28"/>
      <c r="N11" s="20"/>
      <c r="O11" s="20"/>
      <c r="P11" s="20"/>
      <c r="Q11" s="20"/>
      <c r="R11" s="22"/>
      <c r="S11" s="20"/>
      <c r="T11" s="18"/>
      <c r="U11" s="185"/>
      <c r="V11" s="191"/>
      <c r="W11" s="28"/>
      <c r="X11" s="20"/>
      <c r="Y11" s="20"/>
      <c r="Z11" s="20"/>
      <c r="AA11" s="20"/>
      <c r="AB11" s="22"/>
      <c r="AC11" s="20"/>
      <c r="AD11" s="18"/>
      <c r="AE11" s="185"/>
      <c r="AF11" s="191"/>
      <c r="AG11" s="28"/>
      <c r="AH11" s="20"/>
      <c r="AI11" s="20"/>
      <c r="AJ11" s="20"/>
      <c r="AK11" s="20"/>
      <c r="AL11" s="22"/>
      <c r="AM11" s="20"/>
      <c r="AN11" s="18"/>
      <c r="AO11" s="185"/>
      <c r="AP11" s="191"/>
      <c r="AQ11" s="28"/>
      <c r="AR11" s="20"/>
      <c r="AS11" s="20"/>
      <c r="AT11" s="20"/>
      <c r="AU11" s="20"/>
      <c r="AV11" s="22"/>
      <c r="AW11" s="20"/>
      <c r="AX11" s="18"/>
      <c r="AY11" s="185"/>
      <c r="AZ11" s="191"/>
      <c r="BA11" s="28"/>
      <c r="BB11" s="20"/>
      <c r="BC11" s="20"/>
      <c r="BD11" s="20"/>
      <c r="BE11" s="20"/>
      <c r="BF11" s="22"/>
      <c r="BG11" s="20"/>
      <c r="BH11" s="18"/>
      <c r="BI11" s="185"/>
      <c r="BJ11" s="191"/>
      <c r="BK11" s="28"/>
      <c r="BL11" s="20"/>
      <c r="BM11" s="20"/>
      <c r="BN11" s="20"/>
      <c r="BO11" s="20"/>
      <c r="BP11" s="22"/>
      <c r="BQ11" s="20"/>
      <c r="BR11" s="18"/>
      <c r="BS11" s="185"/>
      <c r="BT11" s="191"/>
      <c r="BU11" s="1"/>
      <c r="BV11" s="1"/>
      <c r="BX11" s="108">
        <v>0</v>
      </c>
      <c r="BY11" s="109" t="str">
        <v>Gustavo</v>
      </c>
      <c r="BZ11" s="109">
        <v>0</v>
      </c>
      <c r="CA11" s="116"/>
    </row>
    <row r="12" spans="1:79" ht="15" customHeight="1" thickBot="1" x14ac:dyDescent="0.25">
      <c r="A12" s="203"/>
      <c r="B12" s="138" t="s">
        <v>6</v>
      </c>
      <c r="C12" s="28"/>
      <c r="D12" s="20"/>
      <c r="E12" s="20"/>
      <c r="F12" s="20"/>
      <c r="G12" s="20"/>
      <c r="H12" s="22"/>
      <c r="I12" s="20"/>
      <c r="J12" s="18"/>
      <c r="K12" s="185"/>
      <c r="L12" s="191"/>
      <c r="M12" s="28"/>
      <c r="N12" s="20"/>
      <c r="O12" s="20"/>
      <c r="P12" s="20"/>
      <c r="Q12" s="20"/>
      <c r="R12" s="22"/>
      <c r="S12" s="20"/>
      <c r="T12" s="18"/>
      <c r="U12" s="185"/>
      <c r="V12" s="191"/>
      <c r="W12" s="28"/>
      <c r="X12" s="20"/>
      <c r="Y12" s="20"/>
      <c r="Z12" s="20"/>
      <c r="AA12" s="20"/>
      <c r="AB12" s="22"/>
      <c r="AC12" s="20"/>
      <c r="AD12" s="18"/>
      <c r="AE12" s="185"/>
      <c r="AF12" s="191"/>
      <c r="AG12" s="28"/>
      <c r="AH12" s="20"/>
      <c r="AI12" s="20"/>
      <c r="AJ12" s="20"/>
      <c r="AK12" s="20"/>
      <c r="AL12" s="22"/>
      <c r="AM12" s="20"/>
      <c r="AN12" s="18"/>
      <c r="AO12" s="185"/>
      <c r="AP12" s="191"/>
      <c r="AQ12" s="28"/>
      <c r="AR12" s="20"/>
      <c r="AS12" s="20"/>
      <c r="AT12" s="20"/>
      <c r="AU12" s="20"/>
      <c r="AV12" s="22"/>
      <c r="AW12" s="20"/>
      <c r="AX12" s="18"/>
      <c r="AY12" s="185"/>
      <c r="AZ12" s="191"/>
      <c r="BA12" s="28"/>
      <c r="BB12" s="20"/>
      <c r="BC12" s="20"/>
      <c r="BD12" s="20"/>
      <c r="BE12" s="20"/>
      <c r="BF12" s="22"/>
      <c r="BG12" s="20"/>
      <c r="BH12" s="18"/>
      <c r="BI12" s="185"/>
      <c r="BJ12" s="191"/>
      <c r="BK12" s="28"/>
      <c r="BL12" s="20"/>
      <c r="BM12" s="20"/>
      <c r="BN12" s="20"/>
      <c r="BO12" s="20"/>
      <c r="BP12" s="22"/>
      <c r="BQ12" s="20"/>
      <c r="BR12" s="18"/>
      <c r="BS12" s="185"/>
      <c r="BT12" s="191"/>
      <c r="BU12" s="1"/>
      <c r="BV12" s="1"/>
      <c r="BX12" s="108">
        <v>0</v>
      </c>
      <c r="BY12" s="109" t="str">
        <v>Roberta</v>
      </c>
      <c r="BZ12" s="109">
        <v>0</v>
      </c>
      <c r="CA12" s="117"/>
    </row>
    <row r="13" spans="1:79" ht="15" customHeight="1" thickBot="1" x14ac:dyDescent="0.25">
      <c r="A13" s="203"/>
      <c r="B13" s="138" t="s">
        <v>7</v>
      </c>
      <c r="C13" s="28"/>
      <c r="D13" s="20"/>
      <c r="E13" s="20"/>
      <c r="F13" s="20"/>
      <c r="G13" s="20"/>
      <c r="H13" s="22"/>
      <c r="I13" s="20"/>
      <c r="J13" s="18"/>
      <c r="K13" s="185"/>
      <c r="L13" s="191"/>
      <c r="M13" s="28"/>
      <c r="N13" s="20"/>
      <c r="O13" s="20"/>
      <c r="P13" s="20"/>
      <c r="Q13" s="20"/>
      <c r="R13" s="22"/>
      <c r="S13" s="20"/>
      <c r="T13" s="18"/>
      <c r="U13" s="185"/>
      <c r="V13" s="191"/>
      <c r="W13" s="28"/>
      <c r="X13" s="20"/>
      <c r="Y13" s="20"/>
      <c r="Z13" s="20"/>
      <c r="AA13" s="20"/>
      <c r="AB13" s="22"/>
      <c r="AC13" s="20"/>
      <c r="AD13" s="18"/>
      <c r="AE13" s="185"/>
      <c r="AF13" s="191"/>
      <c r="AG13" s="28"/>
      <c r="AH13" s="20"/>
      <c r="AI13" s="20"/>
      <c r="AJ13" s="20"/>
      <c r="AK13" s="20"/>
      <c r="AL13" s="22"/>
      <c r="AM13" s="20"/>
      <c r="AN13" s="18"/>
      <c r="AO13" s="185"/>
      <c r="AP13" s="191"/>
      <c r="AQ13" s="28"/>
      <c r="AR13" s="20"/>
      <c r="AS13" s="20"/>
      <c r="AT13" s="20"/>
      <c r="AU13" s="20"/>
      <c r="AV13" s="22"/>
      <c r="AW13" s="20"/>
      <c r="AX13" s="18"/>
      <c r="AY13" s="185"/>
      <c r="AZ13" s="191"/>
      <c r="BA13" s="28"/>
      <c r="BB13" s="20"/>
      <c r="BC13" s="20"/>
      <c r="BD13" s="20"/>
      <c r="BE13" s="20"/>
      <c r="BF13" s="22"/>
      <c r="BG13" s="20"/>
      <c r="BH13" s="18"/>
      <c r="BI13" s="185"/>
      <c r="BJ13" s="191"/>
      <c r="BK13" s="28"/>
      <c r="BL13" s="20"/>
      <c r="BM13" s="20"/>
      <c r="BN13" s="20"/>
      <c r="BO13" s="20"/>
      <c r="BP13" s="22"/>
      <c r="BQ13" s="20"/>
      <c r="BR13" s="18"/>
      <c r="BS13" s="185"/>
      <c r="BT13" s="191"/>
      <c r="BU13" s="1"/>
      <c r="BV13" s="1"/>
      <c r="BX13" s="108">
        <v>0</v>
      </c>
      <c r="BY13" s="109" t="str">
        <v>Paulo</v>
      </c>
      <c r="BZ13" s="109">
        <v>0</v>
      </c>
      <c r="CA13" s="118"/>
    </row>
    <row r="14" spans="1:79" ht="15" customHeight="1" thickBot="1" x14ac:dyDescent="0.25">
      <c r="A14" s="203"/>
      <c r="B14" s="138" t="s">
        <v>8</v>
      </c>
      <c r="C14" s="27"/>
      <c r="D14" s="20"/>
      <c r="E14" s="20"/>
      <c r="F14" s="21"/>
      <c r="G14" s="20"/>
      <c r="H14" s="20"/>
      <c r="I14" s="20"/>
      <c r="J14" s="19"/>
      <c r="K14" s="185"/>
      <c r="L14" s="191"/>
      <c r="M14" s="27"/>
      <c r="N14" s="20"/>
      <c r="O14" s="20"/>
      <c r="P14" s="21"/>
      <c r="Q14" s="20"/>
      <c r="R14" s="20"/>
      <c r="S14" s="20"/>
      <c r="T14" s="19"/>
      <c r="U14" s="185"/>
      <c r="V14" s="191"/>
      <c r="W14" s="27"/>
      <c r="X14" s="20"/>
      <c r="Y14" s="20"/>
      <c r="Z14" s="21"/>
      <c r="AA14" s="20"/>
      <c r="AB14" s="20"/>
      <c r="AC14" s="20"/>
      <c r="AD14" s="19"/>
      <c r="AE14" s="185"/>
      <c r="AF14" s="191"/>
      <c r="AG14" s="27"/>
      <c r="AH14" s="20"/>
      <c r="AI14" s="20"/>
      <c r="AJ14" s="21"/>
      <c r="AK14" s="20"/>
      <c r="AL14" s="20"/>
      <c r="AM14" s="20"/>
      <c r="AN14" s="19"/>
      <c r="AO14" s="185"/>
      <c r="AP14" s="191"/>
      <c r="AQ14" s="27"/>
      <c r="AR14" s="20"/>
      <c r="AS14" s="20"/>
      <c r="AT14" s="21"/>
      <c r="AU14" s="20"/>
      <c r="AV14" s="20"/>
      <c r="AW14" s="20"/>
      <c r="AX14" s="19"/>
      <c r="AY14" s="185"/>
      <c r="AZ14" s="191"/>
      <c r="BA14" s="27"/>
      <c r="BB14" s="20"/>
      <c r="BC14" s="20"/>
      <c r="BD14" s="21"/>
      <c r="BE14" s="20"/>
      <c r="BF14" s="20"/>
      <c r="BG14" s="20"/>
      <c r="BH14" s="19"/>
      <c r="BI14" s="185"/>
      <c r="BJ14" s="191"/>
      <c r="BK14" s="27"/>
      <c r="BL14" s="20"/>
      <c r="BM14" s="20"/>
      <c r="BN14" s="21"/>
      <c r="BO14" s="20"/>
      <c r="BP14" s="20"/>
      <c r="BQ14" s="20"/>
      <c r="BR14" s="19"/>
      <c r="BS14" s="185"/>
      <c r="BT14" s="191"/>
      <c r="BU14" s="1"/>
      <c r="BV14" s="1"/>
      <c r="BX14" s="108">
        <v>0</v>
      </c>
      <c r="BY14" s="109" t="str">
        <v>Caio</v>
      </c>
      <c r="BZ14" s="109">
        <v>1</v>
      </c>
      <c r="CA14" s="119"/>
    </row>
    <row r="15" spans="1:79" ht="15" customHeight="1" thickBot="1" x14ac:dyDescent="0.25">
      <c r="A15" s="203"/>
      <c r="B15" s="138" t="s">
        <v>9</v>
      </c>
      <c r="C15" s="28"/>
      <c r="D15" s="20"/>
      <c r="E15" s="20"/>
      <c r="F15" s="20"/>
      <c r="G15" s="20"/>
      <c r="H15" s="20"/>
      <c r="I15" s="20"/>
      <c r="J15" s="18"/>
      <c r="K15" s="185"/>
      <c r="L15" s="191"/>
      <c r="M15" s="20"/>
      <c r="N15" s="20"/>
      <c r="O15" s="20"/>
      <c r="P15" s="20"/>
      <c r="Q15" s="20"/>
      <c r="R15" s="20"/>
      <c r="S15" s="20"/>
      <c r="T15" s="18"/>
      <c r="U15" s="185"/>
      <c r="V15" s="191"/>
      <c r="W15" s="28"/>
      <c r="X15" s="20"/>
      <c r="Y15" s="20"/>
      <c r="Z15" s="20"/>
      <c r="AA15" s="20"/>
      <c r="AB15" s="20"/>
      <c r="AC15" s="20"/>
      <c r="AD15" s="18"/>
      <c r="AE15" s="185"/>
      <c r="AF15" s="191"/>
      <c r="AG15" s="20"/>
      <c r="AH15" s="20"/>
      <c r="AI15" s="20"/>
      <c r="AJ15" s="20"/>
      <c r="AK15" s="20"/>
      <c r="AL15" s="20"/>
      <c r="AM15" s="20"/>
      <c r="AN15" s="18"/>
      <c r="AO15" s="185"/>
      <c r="AP15" s="191"/>
      <c r="AQ15" s="28"/>
      <c r="AR15" s="20"/>
      <c r="AS15" s="20"/>
      <c r="AT15" s="20"/>
      <c r="AU15" s="20"/>
      <c r="AV15" s="20"/>
      <c r="AW15" s="20"/>
      <c r="AX15" s="18"/>
      <c r="AY15" s="185"/>
      <c r="AZ15" s="191"/>
      <c r="BA15" s="20"/>
      <c r="BB15" s="20"/>
      <c r="BC15" s="20"/>
      <c r="BD15" s="20"/>
      <c r="BE15" s="20"/>
      <c r="BF15" s="20"/>
      <c r="BG15" s="20"/>
      <c r="BH15" s="18"/>
      <c r="BI15" s="185"/>
      <c r="BJ15" s="191"/>
      <c r="BK15" s="20"/>
      <c r="BL15" s="20"/>
      <c r="BM15" s="20"/>
      <c r="BN15" s="20"/>
      <c r="BO15" s="20"/>
      <c r="BP15" s="20"/>
      <c r="BQ15" s="20"/>
      <c r="BR15" s="18"/>
      <c r="BS15" s="185"/>
      <c r="BT15" s="191"/>
      <c r="BU15" s="1"/>
      <c r="BV15" s="1"/>
      <c r="BX15" s="108">
        <v>0</v>
      </c>
      <c r="BY15" s="109">
        <v>0</v>
      </c>
      <c r="BZ15" s="109">
        <v>0</v>
      </c>
      <c r="CA15" s="124"/>
    </row>
    <row r="16" spans="1:79" ht="15" customHeight="1" thickBot="1" x14ac:dyDescent="0.25">
      <c r="A16" s="203"/>
      <c r="B16" s="139" t="s">
        <v>10</v>
      </c>
      <c r="C16" s="181">
        <f>IF(Configuração!D10=EscalaLinear!BY5,10,IF(Configuração!D10=BY6,9,IF(Configuração!D10=BY7,8,IF(Configuração!D10=BY8,7,IF(Configuração!D10=BY9,6,IF(Configuração!D10=BY10,5,IF(Configuração!D10=BY11,4,IF(Configuração!D10=BY12,3,IF(Configuração!D10=BY13,2,IF(Configuração!D10=BY14,1,""))))))))))</f>
        <v>6</v>
      </c>
      <c r="D16" s="184">
        <f>IF(Configuração!D11=EscalaLinear!BY5,10,IF(Configuração!D11=BY6,9,IF(Configuração!D11=BY7,8,IF(Configuração!D11=BY8,7,IF(Configuração!D11=BY9,6,IF(Configuração!D11=BY10,5,IF(Configuração!D11=BY11,4,IF(Configuração!D11=BY12,3,IF(Configuração!D11=BY13,2,IF(Configuração!D11=BY14,1,""))))))))))</f>
        <v>3</v>
      </c>
      <c r="E16" s="20"/>
      <c r="F16" s="20"/>
      <c r="G16" s="20"/>
      <c r="H16" s="20"/>
      <c r="I16" s="20"/>
      <c r="J16" s="18"/>
      <c r="K16" s="185"/>
      <c r="L16" s="191"/>
      <c r="M16" s="181">
        <f>IF(Configuração!E10=EscalaLinear!BY5,10,IF(Configuração!E10=BY6,9,IF(Configuração!E10=BY7,8,IF(Configuração!E10=BY8,7,IF(Configuração!E10=BY9,6,IF(Configuração!E10=BY10,5,IF(Configuração!E10=BY11,4,IF(Configuração!E10=BY12,3,IF(Configuração!E10=BY13,2,IF(Configuração!E10=BY14,1,""))))))))))</f>
        <v>1</v>
      </c>
      <c r="N16" s="184">
        <f>IF(Configuração!E11=EscalaLinear!BY5,10,IF(Configuração!E11=BY6,9,IF(Configuração!E11=BY7,8,IF(Configuração!E11=BY8,7,IF(Configuração!E11=BY9,6,IF(Configuração!E11=BY10,5,IF(Configuração!E11=BY11,4,IF(Configuração!E11=BY12,3,IF(Configuração!E11=BY13,2,IF(Configuração!E11=BY14,1,""))))))))))</f>
        <v>9</v>
      </c>
      <c r="O16" s="20"/>
      <c r="P16" s="20"/>
      <c r="Q16" s="20"/>
      <c r="R16" s="20"/>
      <c r="S16" s="20"/>
      <c r="T16" s="18"/>
      <c r="U16" s="185"/>
      <c r="V16" s="191"/>
      <c r="W16" s="181">
        <f>IF(Configuração!F10=EscalaLinear!BY5,10,IF(Configuração!F10=BY6,9,IF(Configuração!F10=BY7,8,IF(Configuração!F10=BY8,7,IF(Configuração!F10=BY9,6,IF(Configuração!F10=BY10,5,IF(Configuração!F10=BY11,4,IF(Configuração!F10=BY12,3,IF(Configuração!F10=BY13,2,IF(Configuração!F10=BY14,1,""))))))))))</f>
        <v>1</v>
      </c>
      <c r="X16" s="184" t="str">
        <f>IF(Configuração!F11=EscalaLinear!BY5,10,IF(Configuração!F11=BY6,9,IF(Configuração!F11=BY7,8,IF(Configuração!F11=BY8,7,IF(Configuração!F11=BY9,6,IF(Configuração!F11=BY10,5,IF(Configuração!F11=BY11,4,IF(Configuração!F11=BY12,3,IF(Configuração!F11=BY13,2,IF(Configuração!F11=BY14,1,""))))))))))</f>
        <v/>
      </c>
      <c r="Y16" s="20"/>
      <c r="Z16" s="20"/>
      <c r="AA16" s="20"/>
      <c r="AB16" s="20"/>
      <c r="AC16" s="20"/>
      <c r="AD16" s="18"/>
      <c r="AE16" s="185"/>
      <c r="AF16" s="191"/>
      <c r="AG16" s="181">
        <f>IF(Configuração!G10=EscalaLinear!BY5,10,IF(Configuração!G10=BY6,9,IF(Configuração!G10=BY7,8,IF(Configuração!G10=BY8,7,IF(Configuração!G10=BY9,6,IF(Configuração!G10=BY10,5,IF(Configuração!G10=BY11,4,IF(Configuração!G10=BY12,3,IF(Configuração!G10=BY13,2,IF(Configuração!G10=BY14,1,""))))))))))</f>
        <v>1</v>
      </c>
      <c r="AH16" s="184" t="str">
        <f>IF(Configuração!G11=EscalaLinear!BY5,10,IF(Configuração!G11=BY6,9,IF(Configuração!G11=BY7,8,IF(Configuração!G11=BY8,7,IF(Configuração!G11=BY9,6,IF(Configuração!G11=BY10,5,IF(Configuração!G11=BY11,4,IF(Configuração!G11=BY12,3,IF(Configuração!G11=BY13,2,IF(Configuração!G11=BY14,1,""))))))))))</f>
        <v/>
      </c>
      <c r="AI16" s="20"/>
      <c r="AJ16" s="20"/>
      <c r="AK16" s="20"/>
      <c r="AL16" s="20"/>
      <c r="AM16" s="20"/>
      <c r="AN16" s="18"/>
      <c r="AO16" s="185"/>
      <c r="AP16" s="191"/>
      <c r="AQ16" s="181">
        <f>IF(Configuração!H10=EscalaLinear!BY5,10,IF(Configuração!H10=BY6,9,IF(Configuração!H10=BY7,8,IF(Configuração!H10=BY8,7,IF(Configuração!H10=BY9,6,IF(Configuração!H10=BY10,5,IF(Configuração!H10=BY11,4,IF(Configuração!H10=BY12,3,IF(Configuração!H10=BY13,2,IF(Configuração!H10=BY14,1,""))))))))))</f>
        <v>1</v>
      </c>
      <c r="AR16" s="184" t="str">
        <f>IF(Configuração!H11=EscalaLinear!BY5,10,IF(Configuração!H11=BY6,9,IF(Configuração!H11=BY7,8,IF(Configuração!H11=BY8,7,IF(Configuração!H11=BY9,6,IF(Configuração!H11=BY10,5,IF(Configuração!H11=BY11,4,IF(Configuração!H11=BY12,3,IF(Configuração!H11=BY13,2,IF(Configuração!H11=BY14,1,""))))))))))</f>
        <v/>
      </c>
      <c r="AS16" s="20"/>
      <c r="AT16" s="20"/>
      <c r="AU16" s="20"/>
      <c r="AV16" s="20"/>
      <c r="AW16" s="20"/>
      <c r="AX16" s="18"/>
      <c r="AY16" s="185"/>
      <c r="AZ16" s="191"/>
      <c r="BA16" s="181">
        <f>IF(Configuração!I10=EscalaLinear!BY5,10,IF(Configuração!I10=BY6,9,IF(Configuração!I10=BY7,8,IF(Configuração!I10=BY8,7,IF(Configuração!I10=BY9,6,IF(Configuração!I10=BY10,5,IF(Configuração!I10=BY11,4,IF(Configuração!I10=BY12,3,IF(Configuração!I10=BY13,2,IF(Configuração!I10=BY14,1,""))))))))))</f>
        <v>1</v>
      </c>
      <c r="BB16" s="184" t="str">
        <f>IF(Configuração!I11=EscalaLinear!BY5,10,IF(Configuração!I11=BY6,9,IF(Configuração!I11=BY7,8,IF(Configuração!I11=BY8,7,IF(Configuração!I11=BY9,6,IF(Configuração!I11=BY10,5,IF(Configuração!I11=BY11,4,IF(Configuração!I11=BY12,3,IF(Configuração!I11=BY13,2,IF(Configuração!I11=BY14,1,""))))))))))</f>
        <v/>
      </c>
      <c r="BC16" s="20"/>
      <c r="BD16" s="20"/>
      <c r="BE16" s="20"/>
      <c r="BF16" s="20"/>
      <c r="BG16" s="20"/>
      <c r="BH16" s="18"/>
      <c r="BI16" s="185"/>
      <c r="BJ16" s="191"/>
      <c r="BK16" s="181">
        <f>IF(Configuração!J10=EscalaLinear!BY5,10,IF(Configuração!J10=BY6,9,IF(Configuração!J10=BY7,8,IF(Configuração!J10=BY8,7,IF(Configuração!J10=BY9,6,IF(Configuração!J10=BY10,5,IF(Configuração!J10=BY11,4,IF(Configuração!J10=BY12,3,IF(Configuração!J10=BY13,2,IF(Configuração!J10=BY14,1,""))))))))))</f>
        <v>1</v>
      </c>
      <c r="BL16" s="184" t="str">
        <f>IF(Configuração!J11=EscalaLinear!BY5,10,IF(Configuração!J11=BY6,9,IF(Configuração!J11=BY7,8,IF(Configuração!J11=BY8,7,IF(Configuração!J11=BY9,6,IF(Configuração!J11=BY10,5,IF(Configuração!J11=BY11,4,IF(Configuração!J11=BY12,3,IF(Configuração!J11=BY13,2,IF(Configuração!J11=BY14,1,""))))))))))</f>
        <v/>
      </c>
      <c r="BM16" s="20"/>
      <c r="BN16" s="20"/>
      <c r="BO16" s="20"/>
      <c r="BP16" s="20"/>
      <c r="BQ16" s="20"/>
      <c r="BR16" s="18"/>
      <c r="BS16" s="185"/>
      <c r="BT16" s="191"/>
      <c r="BU16" s="1"/>
      <c r="BV16" s="1"/>
      <c r="BX16" s="108">
        <v>0</v>
      </c>
      <c r="BY16" s="109">
        <v>0</v>
      </c>
      <c r="BZ16" s="109">
        <v>0</v>
      </c>
      <c r="CA16" s="125"/>
    </row>
    <row r="17" spans="1:79" ht="15" customHeight="1" thickBot="1" x14ac:dyDescent="0.25">
      <c r="A17" s="203"/>
      <c r="B17" s="138" t="s">
        <v>76</v>
      </c>
      <c r="C17" s="182"/>
      <c r="D17" s="185"/>
      <c r="E17" s="20"/>
      <c r="F17" s="20"/>
      <c r="G17" s="20"/>
      <c r="H17" s="20"/>
      <c r="I17" s="20"/>
      <c r="J17" s="18"/>
      <c r="K17" s="186"/>
      <c r="L17" s="192"/>
      <c r="M17" s="182"/>
      <c r="N17" s="185"/>
      <c r="O17" s="20"/>
      <c r="P17" s="20"/>
      <c r="Q17" s="20"/>
      <c r="R17" s="20"/>
      <c r="S17" s="20"/>
      <c r="T17" s="18"/>
      <c r="U17" s="186"/>
      <c r="V17" s="192"/>
      <c r="W17" s="182"/>
      <c r="X17" s="185"/>
      <c r="Y17" s="20"/>
      <c r="Z17" s="20"/>
      <c r="AA17" s="20"/>
      <c r="AB17" s="20"/>
      <c r="AC17" s="20"/>
      <c r="AD17" s="18"/>
      <c r="AE17" s="186"/>
      <c r="AF17" s="192"/>
      <c r="AG17" s="182"/>
      <c r="AH17" s="185"/>
      <c r="AI17" s="20"/>
      <c r="AJ17" s="20"/>
      <c r="AK17" s="20"/>
      <c r="AL17" s="20"/>
      <c r="AM17" s="20"/>
      <c r="AN17" s="18"/>
      <c r="AO17" s="186"/>
      <c r="AP17" s="192"/>
      <c r="AQ17" s="182"/>
      <c r="AR17" s="185"/>
      <c r="AS17" s="20"/>
      <c r="AT17" s="20"/>
      <c r="AU17" s="20"/>
      <c r="AV17" s="20"/>
      <c r="AW17" s="20"/>
      <c r="AX17" s="18"/>
      <c r="AY17" s="186"/>
      <c r="AZ17" s="192"/>
      <c r="BA17" s="182"/>
      <c r="BB17" s="185"/>
      <c r="BC17" s="20"/>
      <c r="BD17" s="20"/>
      <c r="BE17" s="20"/>
      <c r="BF17" s="20"/>
      <c r="BG17" s="20"/>
      <c r="BH17" s="18"/>
      <c r="BI17" s="186"/>
      <c r="BJ17" s="192"/>
      <c r="BK17" s="182"/>
      <c r="BL17" s="185"/>
      <c r="BM17" s="20"/>
      <c r="BN17" s="20"/>
      <c r="BO17" s="20"/>
      <c r="BP17" s="20"/>
      <c r="BQ17" s="20"/>
      <c r="BR17" s="18"/>
      <c r="BS17" s="186"/>
      <c r="BT17" s="192"/>
      <c r="BU17" s="1"/>
      <c r="BV17" s="1"/>
      <c r="BX17" s="108">
        <v>0</v>
      </c>
      <c r="BY17" s="109">
        <v>0</v>
      </c>
      <c r="BZ17" s="109">
        <v>0</v>
      </c>
      <c r="CA17" s="126"/>
    </row>
    <row r="18" spans="1:79" ht="15" customHeight="1" thickBot="1" x14ac:dyDescent="0.25">
      <c r="A18" s="203"/>
      <c r="B18" s="138" t="s">
        <v>11</v>
      </c>
      <c r="C18" s="182"/>
      <c r="D18" s="185"/>
      <c r="E18" s="151"/>
      <c r="G18" s="20"/>
      <c r="H18" s="20"/>
      <c r="I18" s="20"/>
      <c r="J18" s="18"/>
      <c r="K18" s="20"/>
      <c r="L18" s="25"/>
      <c r="M18" s="182"/>
      <c r="N18" s="185"/>
      <c r="O18" s="20"/>
      <c r="Q18" s="20"/>
      <c r="R18" s="20"/>
      <c r="S18" s="20"/>
      <c r="T18" s="18"/>
      <c r="U18" s="20"/>
      <c r="V18" s="25"/>
      <c r="W18" s="182"/>
      <c r="X18" s="185"/>
      <c r="Y18" s="151"/>
      <c r="AA18" s="20"/>
      <c r="AB18" s="20"/>
      <c r="AC18" s="20"/>
      <c r="AD18" s="18"/>
      <c r="AE18" s="20"/>
      <c r="AF18" s="25"/>
      <c r="AG18" s="182"/>
      <c r="AH18" s="185"/>
      <c r="AI18" s="20"/>
      <c r="AK18" s="20"/>
      <c r="AL18" s="20"/>
      <c r="AM18" s="20"/>
      <c r="AN18" s="18"/>
      <c r="AO18" s="20"/>
      <c r="AP18" s="25"/>
      <c r="AQ18" s="182"/>
      <c r="AR18" s="185"/>
      <c r="AS18" s="151"/>
      <c r="AU18" s="20"/>
      <c r="AV18" s="20"/>
      <c r="AW18" s="20"/>
      <c r="AX18" s="18"/>
      <c r="AY18" s="20"/>
      <c r="AZ18" s="25"/>
      <c r="BA18" s="182"/>
      <c r="BB18" s="185"/>
      <c r="BC18" s="20"/>
      <c r="BE18" s="20"/>
      <c r="BF18" s="20"/>
      <c r="BG18" s="20"/>
      <c r="BH18" s="18"/>
      <c r="BI18" s="20"/>
      <c r="BJ18" s="25"/>
      <c r="BK18" s="182"/>
      <c r="BL18" s="185"/>
      <c r="BM18" s="20"/>
      <c r="BO18" s="20"/>
      <c r="BP18" s="20"/>
      <c r="BQ18" s="20"/>
      <c r="BR18" s="18"/>
      <c r="BS18" s="20"/>
      <c r="BT18" s="25"/>
      <c r="BU18" s="1"/>
      <c r="BV18" s="1"/>
      <c r="BX18" s="108">
        <v>0</v>
      </c>
      <c r="BY18" s="109">
        <v>0</v>
      </c>
      <c r="BZ18" s="109">
        <v>0</v>
      </c>
      <c r="CA18" s="127"/>
    </row>
    <row r="19" spans="1:79" ht="15" customHeight="1" thickBot="1" x14ac:dyDescent="0.25">
      <c r="A19" s="203"/>
      <c r="B19" s="139" t="s">
        <v>12</v>
      </c>
      <c r="C19" s="182"/>
      <c r="D19" s="185"/>
      <c r="E19" s="184">
        <f>IF(Configuração!D12=EscalaLinear!BY5,10,IF(Configuração!D12=BY6,9,IF(Configuração!D12=BY7,8,IF(Configuração!D12=BY8,7,IF(Configuração!D12=BY9,6,IF(Configuração!D12=BY10,5,IF(Configuração!D12=BY11,4,IF(Configuração!D12=BY12,3,IF(Configuração!D12=BY13,2,IF(Configuração!D12=BY14,1,""))))))))))</f>
        <v>5</v>
      </c>
      <c r="F19" s="184">
        <f>IF(Configuração!D13=EscalaLinear!BY5,10,IF(Configuração!D13=BY6,9,IF(Configuração!D13=BY7,8,IF(Configuração!D13=BY8,7,IF(Configuração!D13=BY9,6,IF(Configuração!D13=BY10,5,IF(Configuração!D13=BY11,4,IF(Configuração!D13=BY12,3,IF(Configuração!D13=BY13,2,IF(Configuração!D13=BY14,1,""))))))))))</f>
        <v>4</v>
      </c>
      <c r="G19" s="22"/>
      <c r="H19" s="22"/>
      <c r="I19" s="20"/>
      <c r="J19" s="18"/>
      <c r="K19" s="20"/>
      <c r="L19" s="25"/>
      <c r="M19" s="182"/>
      <c r="N19" s="185"/>
      <c r="O19" s="184">
        <f>IF(Configuração!E12=EscalaLinear!BY5,10,IF(Configuração!E12=BY6,9,IF(Configuração!E12=BY7,8,IF(Configuração!E12=BY8,7,IF(Configuração!E12=BY9,6,IF(Configuração!E12=BY10,5,IF(Configuração!E12=BY11,4,IF(Configuração!E12=BY12,3,IF(Configuração!E12=BY13,2,IF(Configuração!E12=BY14,1,""))))))))))</f>
        <v>8</v>
      </c>
      <c r="P19" s="184">
        <f>IF(Configuração!E13=EscalaLinear!BY5,10,IF(Configuração!E13=BY6,9,IF(Configuração!E13=BY7,8,IF(Configuração!E13=BY8,7,IF(Configuração!E13=BY9,6,IF(Configuração!E13=BY10,5,IF(Configuração!E13=BY11,4,IF(Configuração!E13=BY12,3,IF(Configuração!E13=BY13,2,IF(Configuração!E13=BY14,1,""))))))))))</f>
        <v>6</v>
      </c>
      <c r="Q19" s="22"/>
      <c r="R19" s="22"/>
      <c r="S19" s="20"/>
      <c r="T19" s="18"/>
      <c r="U19" s="20"/>
      <c r="V19" s="25"/>
      <c r="W19" s="182"/>
      <c r="X19" s="185"/>
      <c r="Y19" s="184" t="str">
        <f>IF(Configuração!F12=EscalaLinear!BY5,10,IF(Configuração!F12=BY6,9,IF(Configuração!F12=BY7,8,IF(Configuração!F12=BY8,7,IF(Configuração!F12=BY9,6,IF(Configuração!F12=BY10,5,IF(Configuração!F12=BY11,4,IF(Configuração!F12=BY12,3,IF(Configuração!F12=BY13,2,IF(Configuração!F12=BY14,1,""))))))))))</f>
        <v/>
      </c>
      <c r="Z19" s="184" t="str">
        <f>IF(Configuração!F13=EscalaLinear!BY5,10,IF(Configuração!F13=BY6,9,IF(Configuração!F13=BY7,8,IF(Configuração!F13=BY8,7,IF(Configuração!F13=BY9,6,IF(Configuração!F13=BY10,5,IF(Configuração!F13=BY11,4,IF(Configuração!F13=BY12,3,IF(Configuração!F13=BY13,2,IF(Configuração!F13=BY14,1,""))))))))))</f>
        <v/>
      </c>
      <c r="AA19" s="22"/>
      <c r="AB19" s="22"/>
      <c r="AC19" s="20"/>
      <c r="AD19" s="18"/>
      <c r="AE19" s="20"/>
      <c r="AF19" s="25"/>
      <c r="AG19" s="182"/>
      <c r="AH19" s="185"/>
      <c r="AI19" s="184" t="str">
        <f>IF(Configuração!G12=EscalaLinear!BY5,10,IF(Configuração!G12=BY6,9,IF(Configuração!G12=BY7,8,IF(Configuração!G12=BY8,7,IF(Configuração!G12=BY9,6,IF(Configuração!G12=BY10,5,IF(Configuração!G12=BY11,4,IF(Configuração!G12=BY12,3,IF(Configuração!G12=BY13,2,IF(Configuração!G12=BY14,1,""))))))))))</f>
        <v/>
      </c>
      <c r="AJ19" s="184" t="str">
        <f>IF(Configuração!G13=EscalaLinear!BY5,10,IF(Configuração!G13=BY6,9,IF(Configuração!G13=BY7,8,IF(Configuração!G13=BY8,7,IF(Configuração!G13=BY9,6,IF(Configuração!G13=BY10,5,IF(Configuração!G13=BY11,4,IF(Configuração!G13=BY12,3,IF(Configuração!G13=BY13,2,IF(Configuração!G13=BY14,1,""))))))))))</f>
        <v/>
      </c>
      <c r="AK19" s="22"/>
      <c r="AL19" s="22"/>
      <c r="AM19" s="20"/>
      <c r="AN19" s="18"/>
      <c r="AO19" s="20"/>
      <c r="AP19" s="25"/>
      <c r="AQ19" s="182"/>
      <c r="AR19" s="185"/>
      <c r="AS19" s="184" t="str">
        <f>IF(Configuração!H12=EscalaLinear!BY5,10,IF(Configuração!H12=BY6,9,IF(Configuração!H12=BY7,8,IF(Configuração!H12=BY8,7,IF(Configuração!H12=BY9,6,IF(Configuração!H12=BY10,5,IF(Configuração!H12=BY11,4,IF(Configuração!H12=BY12,3,IF(Configuração!H12=BY13,2,IF(Configuração!H12=BY14,1,""))))))))))</f>
        <v/>
      </c>
      <c r="AT19" s="184" t="str">
        <f>IF(Configuração!H13=EscalaLinear!BY5,10,IF(Configuração!H13=BY6,9,IF(Configuração!H13=BY7,8,IF(Configuração!H13=BY8,7,IF(Configuração!H13=BY9,6,IF(Configuração!H13=BY10,5,IF(Configuração!H13=BY11,4,IF(Configuração!H13=BY12,3,IF(Configuração!H13=BY13,2,IF(Configuração!H13=BY14,1,""))))))))))</f>
        <v/>
      </c>
      <c r="AU19" s="22"/>
      <c r="AV19" s="22"/>
      <c r="AW19" s="20"/>
      <c r="AX19" s="18"/>
      <c r="AY19" s="20"/>
      <c r="AZ19" s="25"/>
      <c r="BA19" s="182"/>
      <c r="BB19" s="185"/>
      <c r="BC19" s="184" t="str">
        <f>IF(Configuração!I12=EscalaLinear!BY5,10,IF(Configuração!I12=BY6,9,IF(Configuração!I12=BY7,8,IF(Configuração!I12=BY8,7,IF(Configuração!I12=BY9,6,IF(Configuração!I12=BY10,5,IF(Configuração!I12=BY11,4,IF(Configuração!I12=BY12,3,IF(Configuração!I12=BY13,2,IF(Configuração!I12=BY14,1,""))))))))))</f>
        <v/>
      </c>
      <c r="BD19" s="184" t="str">
        <f>IF(Configuração!I13=EscalaLinear!BY5,10,IF(Configuração!I13=BY6,9,IF(Configuração!I13=BY7,8,IF(Configuração!I13=BY8,7,IF(Configuração!I13=BY9,6,IF(Configuração!I13=BY10,5,IF(Configuração!I13=BY11,4,IF(Configuração!I13=BY12,3,IF(Configuração!I13=BY13,2,IF(Configuração!I13=BY14,1,""))))))))))</f>
        <v/>
      </c>
      <c r="BE19" s="22"/>
      <c r="BF19" s="22"/>
      <c r="BG19" s="20"/>
      <c r="BH19" s="18"/>
      <c r="BI19" s="20"/>
      <c r="BJ19" s="25"/>
      <c r="BK19" s="182"/>
      <c r="BL19" s="185"/>
      <c r="BM19" s="184" t="str">
        <f>IF(Configuração!J12=EscalaLinear!BY5,10,IF(Configuração!J12=BY6,9,IF(Configuração!J12=BY7,8,IF(Configuração!J12=BY8,7,IF(Configuração!J12=BY9,6,IF(Configuração!J12=BY10,5,IF(Configuração!J12=BY11,4,IF(Configuração!J12=BY12,3,IF(Configuração!J12=BY13,2,IF(Configuração!J12=BY14,1,""))))))))))</f>
        <v/>
      </c>
      <c r="BN19" s="184" t="str">
        <f>IF(Configuração!J13=EscalaLinear!BY5,10,IF(Configuração!J13=BY6,9,IF(Configuração!J13=BY7,8,IF(Configuração!J13=BY8,7,IF(Configuração!J13=BY9,6,IF(Configuração!J13=BY10,5,IF(Configuração!J13=BY11,4,IF(Configuração!J13=BY12,3,IF(Configuração!J13=BY13,2,IF(Configuração!J13=BY14,1,""))))))))))</f>
        <v/>
      </c>
      <c r="BO19" s="22"/>
      <c r="BP19" s="22"/>
      <c r="BQ19" s="20"/>
      <c r="BR19" s="18"/>
      <c r="BS19" s="20"/>
      <c r="BT19" s="25"/>
      <c r="BU19" s="1"/>
      <c r="BV19" s="1"/>
      <c r="BX19" s="108">
        <v>0</v>
      </c>
      <c r="BY19" s="109">
        <v>0</v>
      </c>
      <c r="BZ19" s="109">
        <v>0</v>
      </c>
      <c r="CA19" s="128"/>
    </row>
    <row r="20" spans="1:79" ht="15" customHeight="1" thickBot="1" x14ac:dyDescent="0.25">
      <c r="A20" s="203"/>
      <c r="B20" s="138" t="s">
        <v>13</v>
      </c>
      <c r="C20" s="182"/>
      <c r="D20" s="185"/>
      <c r="E20" s="185"/>
      <c r="F20" s="185"/>
      <c r="G20" s="151"/>
      <c r="I20" s="20"/>
      <c r="J20" s="18"/>
      <c r="K20" s="20"/>
      <c r="L20" s="25"/>
      <c r="M20" s="182"/>
      <c r="N20" s="185"/>
      <c r="O20" s="185"/>
      <c r="P20" s="185"/>
      <c r="Q20" s="151"/>
      <c r="S20" s="20"/>
      <c r="T20" s="18"/>
      <c r="U20" s="20"/>
      <c r="V20" s="25"/>
      <c r="W20" s="182"/>
      <c r="X20" s="185"/>
      <c r="Y20" s="185"/>
      <c r="Z20" s="185"/>
      <c r="AA20" s="151"/>
      <c r="AC20" s="20"/>
      <c r="AD20" s="18"/>
      <c r="AE20" s="20"/>
      <c r="AF20" s="25"/>
      <c r="AG20" s="182"/>
      <c r="AH20" s="185"/>
      <c r="AI20" s="185"/>
      <c r="AJ20" s="185"/>
      <c r="AK20" s="151"/>
      <c r="AM20" s="20"/>
      <c r="AN20" s="18"/>
      <c r="AO20" s="20"/>
      <c r="AP20" s="25"/>
      <c r="AQ20" s="182"/>
      <c r="AR20" s="185"/>
      <c r="AS20" s="185"/>
      <c r="AT20" s="185"/>
      <c r="AU20" s="151"/>
      <c r="AW20" s="20"/>
      <c r="AX20" s="18"/>
      <c r="AY20" s="20"/>
      <c r="AZ20" s="25"/>
      <c r="BA20" s="182"/>
      <c r="BB20" s="185"/>
      <c r="BC20" s="185"/>
      <c r="BD20" s="185"/>
      <c r="BE20" s="151"/>
      <c r="BG20" s="20"/>
      <c r="BH20" s="18"/>
      <c r="BI20" s="20"/>
      <c r="BJ20" s="25"/>
      <c r="BK20" s="182"/>
      <c r="BL20" s="185"/>
      <c r="BM20" s="185"/>
      <c r="BN20" s="185"/>
      <c r="BO20" s="151"/>
      <c r="BQ20" s="20"/>
      <c r="BR20" s="18"/>
      <c r="BS20" s="20"/>
      <c r="BT20" s="25"/>
      <c r="BU20" s="1"/>
      <c r="BV20" s="1"/>
      <c r="BX20" s="108">
        <v>0</v>
      </c>
      <c r="BY20" s="109">
        <v>0</v>
      </c>
      <c r="BZ20" s="109">
        <v>0</v>
      </c>
      <c r="CA20" s="129"/>
    </row>
    <row r="21" spans="1:79" ht="15" customHeight="1" thickBot="1" x14ac:dyDescent="0.25">
      <c r="A21" s="203"/>
      <c r="B21" s="139" t="s">
        <v>14</v>
      </c>
      <c r="C21" s="182"/>
      <c r="D21" s="185"/>
      <c r="E21" s="185"/>
      <c r="F21" s="185"/>
      <c r="G21" s="184">
        <f>IF(Configuração!D14=EscalaLinear!BY5,10,IF(Configuração!D14=BY6,9,IF(Configuração!D14=BY7,8,IF(Configuração!D14=BY8,7,IF(Configuração!D14=BY9,6,IF(Configuração!D14=BY10,5,IF(Configuração!D14=BY11,4,IF(Configuração!D14=BY12,3,IF(Configuração!D14=BY13,2,IF(Configuração!D14=BY14,1,""))))))))))</f>
        <v>9</v>
      </c>
      <c r="H21" s="184">
        <f>IF(Configuração!D15=EscalaLinear!BY5,10,IF(Configuração!D15=BY6,9,IF(Configuração!D15=BY7,8,IF(Configuração!D15=BY8,7,IF(Configuração!D15=BY9,6,IF(Configuração!D15=BY10,5,IF(Configuração!D15=BY11,4,IF(Configuração!D15=BY12,3,IF(Configuração!D15=BY13,2,IF(Configuração!D15=BY14,1,""))))))))))</f>
        <v>1</v>
      </c>
      <c r="I21" s="20"/>
      <c r="J21" s="18"/>
      <c r="K21" s="20"/>
      <c r="L21" s="25"/>
      <c r="M21" s="182"/>
      <c r="N21" s="185"/>
      <c r="O21" s="185"/>
      <c r="P21" s="185"/>
      <c r="Q21" s="184">
        <f>IF(Configuração!E14=EscalaLinear!BY5,10,IF(Configuração!E14=BY6,9,IF(Configuração!E14=BY7,8,IF(Configuração!E14=BY8,7,IF(Configuração!E14=BY9,6,IF(Configuração!E14=BY10,5,IF(Configuração!E14=BY11,4,IF(Configuração!E14=BY12,3,IF(Configuração!E14=BY13,2,IF(Configuração!E14=BY14,1,""))))))))))</f>
        <v>9</v>
      </c>
      <c r="R21" s="184">
        <f>IF(Configuração!E15=EscalaLinear!BY5,10,IF(Configuração!E15=BY6,9,IF(Configuração!E15=BY7,8,IF(Configuração!E15=BY8,7,IF(Configuração!E15=BY9,6,IF(Configuração!E15=BY10,5,IF(Configuração!E15=BY11,4,IF(Configuração!E15=BY12,3,IF(Configuração!E15=BY13,2,IF(Configuração!E15=BY14,1,""))))))))))</f>
        <v>2</v>
      </c>
      <c r="S21" s="20"/>
      <c r="T21" s="18"/>
      <c r="U21" s="20"/>
      <c r="V21" s="25"/>
      <c r="W21" s="182"/>
      <c r="X21" s="185"/>
      <c r="Y21" s="185"/>
      <c r="Z21" s="185"/>
      <c r="AA21" s="184">
        <f>IF(Configuração!F14=EscalaLinear!BY5,10,IF(Configuração!F14=BY6,9,IF(Configuração!F14=BY7,8,IF(Configuração!F14=BY8,7,IF(Configuração!F14=BY9,6,IF(Configuração!F14=BY10,5,IF(Configuração!F14=BY11,4,IF(Configuração!F14=BY12,3,IF(Configuração!F14=BY13,2,IF(Configuração!F14=BY14,1,""))))))))))</f>
        <v>9</v>
      </c>
      <c r="AB21" s="184" t="str">
        <f>IF(Configuração!F15=EscalaLinear!BY5,10,IF(Configuração!F15=BY6,9,IF(Configuração!F15=BY7,8,IF(Configuração!F15=BY8,7,IF(Configuração!F15=BY9,6,IF(Configuração!F15=BY10,5,IF(Configuração!F15=BY11,4,IF(Configuração!F15=BY12,3,IF(Configuração!F15=BY13,2,IF(Configuração!F15=BY14,1,""))))))))))</f>
        <v/>
      </c>
      <c r="AC21" s="20"/>
      <c r="AD21" s="18"/>
      <c r="AE21" s="20"/>
      <c r="AF21" s="25"/>
      <c r="AG21" s="182"/>
      <c r="AH21" s="185"/>
      <c r="AI21" s="185"/>
      <c r="AJ21" s="185"/>
      <c r="AK21" s="184">
        <f>IF(Configuração!G14=EscalaLinear!BY5,10,IF(Configuração!G14=BY6,9,IF(Configuração!G14=BY7,8,IF(Configuração!G14=BY8,7,IF(Configuração!G14=BY9,6,IF(Configuração!G14=BY10,5,IF(Configuração!G14=BY11,4,IF(Configuração!G14=BY12,3,IF(Configuração!G14=BY13,2,IF(Configuração!G14=BY14,1,""))))))))))</f>
        <v>9</v>
      </c>
      <c r="AL21" s="184" t="str">
        <f>IF(Configuração!G15=EscalaLinear!BY5,10,IF(Configuração!G15=BY6,9,IF(Configuração!G15=BY7,8,IF(Configuração!G15=BY8,7,IF(Configuração!G15=BY9,6,IF(Configuração!G15=BY10,5,IF(Configuração!G15=BY11,4,IF(Configuração!G15=BY12,3,IF(Configuração!G15=BY13,2,IF(Configuração!G15=BY14,1,""))))))))))</f>
        <v/>
      </c>
      <c r="AM21" s="20"/>
      <c r="AN21" s="18"/>
      <c r="AO21" s="20"/>
      <c r="AP21" s="25"/>
      <c r="AQ21" s="182"/>
      <c r="AR21" s="185"/>
      <c r="AS21" s="185"/>
      <c r="AT21" s="185"/>
      <c r="AU21" s="184">
        <f>IF(Configuração!H14=EscalaLinear!BY5,10,IF(Configuração!H14=BY6,9,IF(Configuração!H14=BY7,8,IF(Configuração!H14=BY8,7,IF(Configuração!H14=BY9,6,IF(Configuração!H14=BY10,5,IF(Configuração!H14=BY11,4,IF(Configuração!H14=BY12,3,IF(Configuração!H14=BY13,2,IF(Configuração!H14=BY14,1,""))))))))))</f>
        <v>9</v>
      </c>
      <c r="AV21" s="184" t="str">
        <f>IF(Configuração!H15=EscalaLinear!BY5,10,IF(Configuração!H15=BY6,9,IF(Configuração!H15=BY7,8,IF(Configuração!H15=BY8,7,IF(Configuração!H15=BY9,6,IF(Configuração!H15=BY10,5,IF(Configuração!H15=BY11,4,IF(Configuração!H15=BY12,3,IF(Configuração!H15=BY13,2,IF(Configuração!H15=BY14,1,""))))))))))</f>
        <v/>
      </c>
      <c r="AW21" s="20"/>
      <c r="AX21" s="18"/>
      <c r="AY21" s="20"/>
      <c r="AZ21" s="25"/>
      <c r="BA21" s="182"/>
      <c r="BB21" s="185"/>
      <c r="BC21" s="185"/>
      <c r="BD21" s="185"/>
      <c r="BE21" s="184">
        <f>IF(Configuração!I14=EscalaLinear!BY5,10,IF(Configuração!I14=BY6,9,IF(Configuração!I14=BY7,8,IF(Configuração!I14=BY8,7,IF(Configuração!I14=BY9,6,IF(Configuração!I14=BY10,5,IF(Configuração!I14=BY11,4,IF(Configuração!I14=BY12,3,IF(Configuração!I14=BY13,2,IF(Configuração!I14=BY14,1,""))))))))))</f>
        <v>9</v>
      </c>
      <c r="BF21" s="184" t="str">
        <f>IF(Configuração!I15=EscalaLinear!BY5,10,IF(Configuração!I15=BY6,9,IF(Configuração!I15=BY7,8,IF(Configuração!I15=BY8,7,IF(Configuração!I15=BY9,6,IF(Configuração!I15=BY10,5,IF(Configuração!I15=BY11,4,IF(Configuração!I15=BY12,3,IF(Configuração!I15=BY13,2,IF(Configuração!I15=BY14,1,""))))))))))</f>
        <v/>
      </c>
      <c r="BG21" s="20"/>
      <c r="BH21" s="18"/>
      <c r="BI21" s="20"/>
      <c r="BJ21" s="25"/>
      <c r="BK21" s="182"/>
      <c r="BL21" s="185"/>
      <c r="BM21" s="185"/>
      <c r="BN21" s="185"/>
      <c r="BO21" s="184">
        <f>IF(Configuração!J14=EscalaLinear!BY5,10,IF(Configuração!J14=BY6,9,IF(Configuração!J14=BY7,8,IF(Configuração!J14=BY8,7,IF(Configuração!J14=BY9,6,IF(Configuração!J14=BY10,5,IF(Configuração!J14=BY11,4,IF(Configuração!J14=BY12,3,IF(Configuração!J14=BY13,2,IF(Configuração!J14=BY14,1,""))))))))))</f>
        <v>9</v>
      </c>
      <c r="BP21" s="184" t="str">
        <f>IF(Configuração!J15=EscalaLinear!BY5,10,IF(Configuração!J15=BY6,9,IF(Configuração!J15=BY7,8,IF(Configuração!J15=BY8,7,IF(Configuração!J15=BY9,6,IF(Configuração!J15=BY10,5,IF(Configuração!J15=BY11,4,IF(Configuração!J15=BY12,3,IF(Configuração!J15=BY13,2,IF(Configuração!J15=BY14,1,""))))))))))</f>
        <v/>
      </c>
      <c r="BQ21" s="20"/>
      <c r="BR21" s="18"/>
      <c r="BS21" s="20"/>
      <c r="BT21" s="25"/>
      <c r="BU21" s="1"/>
      <c r="BV21" s="1"/>
      <c r="BX21" s="108">
        <v>0</v>
      </c>
      <c r="BY21" s="109">
        <v>0</v>
      </c>
      <c r="BZ21" s="109">
        <v>0</v>
      </c>
      <c r="CA21" s="130"/>
    </row>
    <row r="22" spans="1:79" ht="15" customHeight="1" thickBot="1" x14ac:dyDescent="0.25">
      <c r="A22" s="203"/>
      <c r="B22" s="138" t="s">
        <v>15</v>
      </c>
      <c r="C22" s="182"/>
      <c r="D22" s="185"/>
      <c r="E22" s="185"/>
      <c r="F22" s="185"/>
      <c r="G22" s="185"/>
      <c r="H22" s="185"/>
      <c r="I22" s="18"/>
      <c r="J22" s="20"/>
      <c r="K22" s="20"/>
      <c r="L22" s="25"/>
      <c r="M22" s="182"/>
      <c r="N22" s="185"/>
      <c r="O22" s="185"/>
      <c r="P22" s="185"/>
      <c r="Q22" s="185"/>
      <c r="R22" s="185"/>
      <c r="S22" s="18"/>
      <c r="T22" s="18"/>
      <c r="U22" s="20"/>
      <c r="V22" s="25"/>
      <c r="W22" s="182"/>
      <c r="X22" s="185"/>
      <c r="Y22" s="185"/>
      <c r="Z22" s="185"/>
      <c r="AA22" s="185"/>
      <c r="AB22" s="185"/>
      <c r="AC22" s="18"/>
      <c r="AD22" s="20"/>
      <c r="AE22" s="20"/>
      <c r="AF22" s="25"/>
      <c r="AG22" s="182"/>
      <c r="AH22" s="185"/>
      <c r="AI22" s="185"/>
      <c r="AJ22" s="185"/>
      <c r="AK22" s="185"/>
      <c r="AL22" s="185"/>
      <c r="AM22" s="18"/>
      <c r="AN22" s="18"/>
      <c r="AO22" s="20"/>
      <c r="AP22" s="25"/>
      <c r="AQ22" s="182"/>
      <c r="AR22" s="185"/>
      <c r="AS22" s="185"/>
      <c r="AT22" s="185"/>
      <c r="AU22" s="185"/>
      <c r="AV22" s="185"/>
      <c r="AW22" s="18"/>
      <c r="AX22" s="20"/>
      <c r="AY22" s="20"/>
      <c r="AZ22" s="25"/>
      <c r="BA22" s="182"/>
      <c r="BB22" s="185"/>
      <c r="BC22" s="185"/>
      <c r="BD22" s="185"/>
      <c r="BE22" s="185"/>
      <c r="BF22" s="185"/>
      <c r="BG22" s="18"/>
      <c r="BH22" s="18"/>
      <c r="BI22" s="20"/>
      <c r="BJ22" s="25"/>
      <c r="BK22" s="182"/>
      <c r="BL22" s="185"/>
      <c r="BM22" s="185"/>
      <c r="BN22" s="185"/>
      <c r="BO22" s="185"/>
      <c r="BP22" s="185"/>
      <c r="BQ22" s="18"/>
      <c r="BR22" s="18"/>
      <c r="BS22" s="20"/>
      <c r="BT22" s="25"/>
      <c r="BU22" s="1"/>
      <c r="BV22" s="1"/>
      <c r="BX22" s="108">
        <v>0</v>
      </c>
      <c r="BY22" s="109" t="str">
        <v>VA</v>
      </c>
      <c r="BZ22" s="109">
        <v>0</v>
      </c>
      <c r="CA22" s="120"/>
    </row>
    <row r="23" spans="1:79" ht="15" customHeight="1" thickBot="1" x14ac:dyDescent="0.25">
      <c r="A23" s="203"/>
      <c r="B23" s="138" t="s">
        <v>16</v>
      </c>
      <c r="C23" s="182"/>
      <c r="D23" s="185"/>
      <c r="E23" s="185"/>
      <c r="F23" s="185"/>
      <c r="G23" s="185"/>
      <c r="H23" s="185"/>
      <c r="I23" s="151"/>
      <c r="J23" s="151"/>
      <c r="K23" s="20"/>
      <c r="L23" s="25"/>
      <c r="M23" s="182"/>
      <c r="N23" s="185"/>
      <c r="O23" s="185"/>
      <c r="P23" s="185"/>
      <c r="Q23" s="185"/>
      <c r="R23" s="185"/>
      <c r="S23" s="151"/>
      <c r="T23" s="151"/>
      <c r="U23" s="20"/>
      <c r="V23" s="25"/>
      <c r="W23" s="182"/>
      <c r="X23" s="185"/>
      <c r="Y23" s="185"/>
      <c r="Z23" s="185"/>
      <c r="AA23" s="185"/>
      <c r="AB23" s="185"/>
      <c r="AC23" s="151"/>
      <c r="AD23" s="151"/>
      <c r="AE23" s="20"/>
      <c r="AF23" s="25"/>
      <c r="AG23" s="182"/>
      <c r="AH23" s="185"/>
      <c r="AI23" s="185"/>
      <c r="AJ23" s="185"/>
      <c r="AK23" s="185"/>
      <c r="AL23" s="185"/>
      <c r="AM23" s="151"/>
      <c r="AN23" s="151"/>
      <c r="AO23" s="20"/>
      <c r="AP23" s="25"/>
      <c r="AQ23" s="182"/>
      <c r="AR23" s="185"/>
      <c r="AS23" s="185"/>
      <c r="AT23" s="185"/>
      <c r="AU23" s="185"/>
      <c r="AV23" s="185"/>
      <c r="AW23" s="151"/>
      <c r="AX23" s="151"/>
      <c r="AY23" s="20"/>
      <c r="AZ23" s="25"/>
      <c r="BA23" s="182"/>
      <c r="BB23" s="185"/>
      <c r="BC23" s="185"/>
      <c r="BD23" s="185"/>
      <c r="BE23" s="185"/>
      <c r="BF23" s="185"/>
      <c r="BG23" s="151"/>
      <c r="BH23" s="151"/>
      <c r="BI23" s="20"/>
      <c r="BJ23" s="25"/>
      <c r="BK23" s="182"/>
      <c r="BL23" s="185"/>
      <c r="BM23" s="185"/>
      <c r="BN23" s="185"/>
      <c r="BO23" s="185"/>
      <c r="BP23" s="185"/>
      <c r="BQ23" s="151"/>
      <c r="BR23" s="151"/>
      <c r="BS23" s="20"/>
      <c r="BT23" s="25"/>
      <c r="BU23" s="1"/>
      <c r="BV23" s="1"/>
      <c r="BX23" s="108"/>
      <c r="BY23" s="109"/>
      <c r="BZ23" s="109"/>
      <c r="CA23" s="120"/>
    </row>
    <row r="24" spans="1:79" ht="15" customHeight="1" thickBot="1" x14ac:dyDescent="0.25">
      <c r="A24" s="203"/>
      <c r="B24" s="140" t="s">
        <v>17</v>
      </c>
      <c r="C24" s="182"/>
      <c r="D24" s="185"/>
      <c r="E24" s="185"/>
      <c r="F24" s="185"/>
      <c r="G24" s="185"/>
      <c r="H24" s="185"/>
      <c r="I24" s="187">
        <f>IF(Configuração!D16=EscalaLinear!BY5,10,IF(Configuração!D16=BY6,9,IF(Configuração!D16=BY7,8,IF(Configuração!D16=BY8,7,IF(Configuração!D16=BY9,6,IF(Configuração!D16=BY10,5,IF(Configuração!D16=BY11,4,IF(Configuração!D16=BY12,3,IF(Configuração!D16=BY13,2,IF(Configuração!D16=BY14,1,""))))))))))</f>
        <v>7</v>
      </c>
      <c r="J24" s="187">
        <f>IF(Configuração!D17=EscalaLinear!BY5,10,IF(Configuração!D17=BY6,9,IF(Configuração!D17=BY7,8,IF(Configuração!D17=BY8,7,IF(Configuração!D17=BY9,6,IF(Configuração!D17=BY10,5,IF(Configuração!D17=BY11,4,IF(Configuração!D17=BY12,3,IF(Configuração!D17=BY13,2,IF(Configuração!D17=BY14,1,""))))))))))</f>
        <v>10</v>
      </c>
      <c r="K24" s="20"/>
      <c r="L24" s="25"/>
      <c r="M24" s="182"/>
      <c r="N24" s="185"/>
      <c r="O24" s="185"/>
      <c r="P24" s="185"/>
      <c r="Q24" s="185"/>
      <c r="R24" s="185"/>
      <c r="S24" s="187">
        <f>IF(Configuração!E16=EscalaLinear!BY5,10,IF(Configuração!E16=BY6,9,IF(Configuração!E16=BY7,8,IF(Configuração!E16=BY8,7,IF(Configuração!E16=BY9,6,IF(Configuração!E16=BY10,5,IF(Configuração!E16=BY11,4,IF(Configuração!E16=BY12,3,IF(Configuração!E16=BY13,2,IF(Configuração!E16=BY14,1,""))))))))))</f>
        <v>7</v>
      </c>
      <c r="T24" s="187">
        <f>IF(Configuração!E17=EscalaLinear!BY5,10,IF(Configuração!E17=BY6,9,IF(Configuração!E17=BY7,8,IF(Configuração!E17=BY8,7,IF(Configuração!E17=BY9,6,IF(Configuração!E17=BY10,5,IF(Configuração!E17=BY11,4,IF(Configuração!E17=BY12,3,IF(Configuração!E17=BY13,2,IF(Configuração!E17=BY14,1,""))))))))))</f>
        <v>8</v>
      </c>
      <c r="U24" s="20"/>
      <c r="V24" s="25"/>
      <c r="W24" s="182"/>
      <c r="X24" s="185"/>
      <c r="Y24" s="185"/>
      <c r="Z24" s="185"/>
      <c r="AA24" s="185"/>
      <c r="AB24" s="185"/>
      <c r="AC24" s="187" t="str">
        <f>IF(Configuração!F16=EscalaLinear!BY5,10,IF(Configuração!F16=BY6,9,IF(Configuração!F16=BY7,8,IF(Configuração!F16=BY8,7,IF(Configuração!F16=BY9,6,IF(Configuração!F16=BY10,5,IF(Configuração!F16=BY11,4,IF(Configuração!F16=BY12,3,IF(Configuração!F16=BY13,2,IF(Configuração!F16=BY14,1,""))))))))))</f>
        <v/>
      </c>
      <c r="AD24" s="187" t="str">
        <f>IF(Configuração!F17=EscalaLinear!BY5,10,IF(Configuração!F17=BY6,9,IF(Configuração!F17=BY7,8,IF(Configuração!F17=BY8,7,IF(Configuração!F17=BY9,6,IF(Configuração!F17=BY10,5,IF(Configuração!F17=BY11,4,IF(Configuração!F17=BY12,3,IF(Configuração!F17=BY13,2,IF(Configuração!F17=BY14,1,""))))))))))</f>
        <v/>
      </c>
      <c r="AE24" s="20"/>
      <c r="AF24" s="25"/>
      <c r="AG24" s="182"/>
      <c r="AH24" s="185"/>
      <c r="AI24" s="185"/>
      <c r="AJ24" s="185"/>
      <c r="AK24" s="185"/>
      <c r="AL24" s="185"/>
      <c r="AM24" s="187" t="str">
        <f>IF(Configuração!G16=EscalaLinear!BY5,10,IF(Configuração!G16=BY6,9,IF(Configuração!G16=BY7,8,IF(Configuração!G16=BY8,7,IF(Configuração!G16=BY9,6,IF(Configuração!G16=BY10,5,IF(Configuração!G16=BY11,4,IF(Configuração!G16=BY12,3,IF(Configuração!G16=BY13,2,IF(Configuração!G16=BY14,1,""))))))))))</f>
        <v/>
      </c>
      <c r="AN24" s="187" t="str">
        <f>IF(Configuração!G17=EscalaLinear!BY5,10,IF(Configuração!G17=BY6,9,IF(Configuração!G17=BY7,8,IF(Configuração!G17=BY8,7,IF(Configuração!G17=BY9,6,IF(Configuração!G17=BY10,5,IF(Configuração!G17=BY11,4,IF(Configuração!G17=BY12,3,IF(Configuração!G17=BY13,2,IF(Configuração!G17=BY14,1,""))))))))))</f>
        <v/>
      </c>
      <c r="AO24" s="20"/>
      <c r="AP24" s="25"/>
      <c r="AQ24" s="182"/>
      <c r="AR24" s="185"/>
      <c r="AS24" s="185"/>
      <c r="AT24" s="185"/>
      <c r="AU24" s="185"/>
      <c r="AV24" s="185"/>
      <c r="AW24" s="187" t="str">
        <f>IF(Configuração!H16=EscalaLinear!BY5,10,IF(Configuração!H16=BY6,9,IF(Configuração!H16=BY7,8,IF(Configuração!H16=BY8,7,IF(Configuração!H16=BY9,6,IF(Configuração!H16=BY10,5,IF(Configuração!H16=BY11,4,IF(Configuração!H16=BY12,3,IF(Configuração!H16=BY13,2,IF(Configuração!H16=BY14,1,""))))))))))</f>
        <v/>
      </c>
      <c r="AX24" s="187" t="str">
        <f>IF(Configuração!H17=EscalaLinear!BY5,10,IF(Configuração!H17=BY6,9,IF(Configuração!H17=BY7,8,IF(Configuração!H17=BY8,7,IF(Configuração!H17=BY9,6,IF(Configuração!H17=BY10,5,IF(Configuração!H17=BY11,4,IF(Configuração!H17=BY12,3,IF(Configuração!H17=BY13,2,IF(Configuração!H17=BY14,1,""))))))))))</f>
        <v/>
      </c>
      <c r="AY24" s="20"/>
      <c r="AZ24" s="25"/>
      <c r="BA24" s="182"/>
      <c r="BB24" s="185"/>
      <c r="BC24" s="185"/>
      <c r="BD24" s="185"/>
      <c r="BE24" s="185"/>
      <c r="BF24" s="185"/>
      <c r="BG24" s="187" t="str">
        <f>IF(Configuração!I16=EscalaLinear!BY5,10,IF(Configuração!I16=BY6,9,IF(Configuração!I16=BY7,8,IF(Configuração!I16=BY8,7,IF(Configuração!I16=BY9,6,IF(Configuração!I16=BY10,5,IF(Configuração!I16=BY11,4,IF(Configuração!I16=BY12,3,IF(Configuração!I16=BY13,2,IF(Configuração!I16=BY14,1,""))))))))))</f>
        <v/>
      </c>
      <c r="BH24" s="187" t="str">
        <f>IF(Configuração!I17=EscalaLinear!BY5,10,IF(Configuração!I17=BY6,9,IF(Configuração!I17=BY7,8,IF(Configuração!I17=BY8,7,IF(Configuração!I17=BY9,6,IF(Configuração!I17=BY10,5,IF(Configuração!I17=BY11,4,IF(Configuração!I17=BY12,3,IF(Configuração!I17=BY13,2,IF(Configuração!I17=BY14,1,""))))))))))</f>
        <v/>
      </c>
      <c r="BI24" s="20"/>
      <c r="BJ24" s="25"/>
      <c r="BK24" s="182"/>
      <c r="BL24" s="185"/>
      <c r="BM24" s="185"/>
      <c r="BN24" s="185"/>
      <c r="BO24" s="185"/>
      <c r="BP24" s="185"/>
      <c r="BQ24" s="187" t="str">
        <f>IF(Configuração!J16=EscalaLinear!BY5,10,IF(Configuração!J16=BY6,9,IF(Configuração!J16=BY7,8,IF(Configuração!J16=BY8,7,IF(Configuração!J16=BY9,6,IF(Configuração!J16=BY10,5,IF(Configuração!J16=BY11,4,IF(Configuração!J16=BY12,3,IF(Configuração!J16=BY13,2,IF(Configuração!J16=BY14,1,""))))))))))</f>
        <v/>
      </c>
      <c r="BR24" s="187" t="str">
        <f>IF(Configuração!J17=EscalaLinear!BY5,10,IF(Configuração!J17=BY6,9,IF(Configuração!J17=BY7,8,IF(Configuração!J17=BY8,7,IF(Configuração!J17=BY9,6,IF(Configuração!J17=BY10,5,IF(Configuração!J17=BY11,4,IF(Configuração!J17=BY12,3,IF(Configuração!J17=BY13,2,IF(Configuração!J17=BY14,1,""))))))))))</f>
        <v/>
      </c>
      <c r="BS24" s="20"/>
      <c r="BT24" s="25"/>
      <c r="BU24" s="1"/>
      <c r="BV24" s="1"/>
      <c r="BX24" s="121"/>
      <c r="BY24" s="122"/>
      <c r="BZ24" s="122"/>
      <c r="CA24" s="123"/>
    </row>
    <row r="25" spans="1:79" ht="15" customHeight="1" thickBot="1" x14ac:dyDescent="0.25">
      <c r="A25" s="203"/>
      <c r="B25" s="138" t="s">
        <v>18</v>
      </c>
      <c r="C25" s="182"/>
      <c r="D25" s="185"/>
      <c r="E25" s="185"/>
      <c r="F25" s="185"/>
      <c r="G25" s="185"/>
      <c r="H25" s="185"/>
      <c r="I25" s="188"/>
      <c r="J25" s="188"/>
      <c r="K25" s="20"/>
      <c r="L25" s="25"/>
      <c r="M25" s="182"/>
      <c r="N25" s="185"/>
      <c r="O25" s="185"/>
      <c r="P25" s="185"/>
      <c r="Q25" s="185"/>
      <c r="R25" s="185"/>
      <c r="S25" s="188"/>
      <c r="T25" s="188"/>
      <c r="U25" s="20"/>
      <c r="V25" s="25"/>
      <c r="W25" s="182"/>
      <c r="X25" s="185"/>
      <c r="Y25" s="185"/>
      <c r="Z25" s="185"/>
      <c r="AA25" s="185"/>
      <c r="AB25" s="185"/>
      <c r="AC25" s="188"/>
      <c r="AD25" s="188"/>
      <c r="AE25" s="20"/>
      <c r="AF25" s="25"/>
      <c r="AG25" s="182"/>
      <c r="AH25" s="185"/>
      <c r="AI25" s="185"/>
      <c r="AJ25" s="185"/>
      <c r="AK25" s="185"/>
      <c r="AL25" s="185"/>
      <c r="AM25" s="188"/>
      <c r="AN25" s="188"/>
      <c r="AO25" s="20"/>
      <c r="AP25" s="25"/>
      <c r="AQ25" s="182"/>
      <c r="AR25" s="185"/>
      <c r="AS25" s="185"/>
      <c r="AT25" s="185"/>
      <c r="AU25" s="185"/>
      <c r="AV25" s="185"/>
      <c r="AW25" s="188"/>
      <c r="AX25" s="188"/>
      <c r="AY25" s="20"/>
      <c r="AZ25" s="25"/>
      <c r="BA25" s="182"/>
      <c r="BB25" s="185"/>
      <c r="BC25" s="185"/>
      <c r="BD25" s="185"/>
      <c r="BE25" s="185"/>
      <c r="BF25" s="185"/>
      <c r="BG25" s="188"/>
      <c r="BH25" s="188"/>
      <c r="BI25" s="20"/>
      <c r="BJ25" s="25"/>
      <c r="BK25" s="182"/>
      <c r="BL25" s="185"/>
      <c r="BM25" s="185"/>
      <c r="BN25" s="185"/>
      <c r="BO25" s="185"/>
      <c r="BP25" s="185"/>
      <c r="BQ25" s="188"/>
      <c r="BR25" s="188"/>
      <c r="BS25" s="20"/>
      <c r="BT25" s="25"/>
      <c r="BU25" s="1"/>
      <c r="BV25" s="1"/>
    </row>
    <row r="26" spans="1:79" ht="15" customHeight="1" thickBot="1" x14ac:dyDescent="0.25">
      <c r="A26" s="203"/>
      <c r="B26" s="138" t="s">
        <v>19</v>
      </c>
      <c r="C26" s="183"/>
      <c r="D26" s="186"/>
      <c r="E26" s="185"/>
      <c r="F26" s="185"/>
      <c r="G26" s="185"/>
      <c r="H26" s="185"/>
      <c r="I26" s="188"/>
      <c r="J26" s="188"/>
      <c r="K26" s="20"/>
      <c r="L26" s="25"/>
      <c r="M26" s="183"/>
      <c r="N26" s="186"/>
      <c r="O26" s="185"/>
      <c r="P26" s="185"/>
      <c r="Q26" s="185"/>
      <c r="R26" s="185"/>
      <c r="S26" s="188"/>
      <c r="T26" s="188"/>
      <c r="U26" s="20"/>
      <c r="V26" s="25"/>
      <c r="W26" s="183"/>
      <c r="X26" s="186"/>
      <c r="Y26" s="185"/>
      <c r="Z26" s="185"/>
      <c r="AA26" s="185"/>
      <c r="AB26" s="185"/>
      <c r="AC26" s="188"/>
      <c r="AD26" s="188"/>
      <c r="AE26" s="20"/>
      <c r="AF26" s="25"/>
      <c r="AG26" s="183"/>
      <c r="AH26" s="186"/>
      <c r="AI26" s="185"/>
      <c r="AJ26" s="185"/>
      <c r="AK26" s="185"/>
      <c r="AL26" s="185"/>
      <c r="AM26" s="188"/>
      <c r="AN26" s="188"/>
      <c r="AO26" s="20"/>
      <c r="AP26" s="25"/>
      <c r="AQ26" s="183"/>
      <c r="AR26" s="186"/>
      <c r="AS26" s="185"/>
      <c r="AT26" s="185"/>
      <c r="AU26" s="185"/>
      <c r="AV26" s="185"/>
      <c r="AW26" s="188"/>
      <c r="AX26" s="188"/>
      <c r="AY26" s="20"/>
      <c r="AZ26" s="25"/>
      <c r="BA26" s="183"/>
      <c r="BB26" s="186"/>
      <c r="BC26" s="185"/>
      <c r="BD26" s="185"/>
      <c r="BE26" s="185"/>
      <c r="BF26" s="185"/>
      <c r="BG26" s="188"/>
      <c r="BH26" s="188"/>
      <c r="BI26" s="20"/>
      <c r="BJ26" s="25"/>
      <c r="BK26" s="183"/>
      <c r="BL26" s="186"/>
      <c r="BM26" s="185"/>
      <c r="BN26" s="185"/>
      <c r="BO26" s="185"/>
      <c r="BP26" s="185"/>
      <c r="BQ26" s="188"/>
      <c r="BR26" s="188"/>
      <c r="BS26" s="20"/>
      <c r="BT26" s="25"/>
      <c r="BU26" s="1"/>
      <c r="BV26" s="1"/>
    </row>
    <row r="27" spans="1:79" ht="15" customHeight="1" thickBot="1" x14ac:dyDescent="0.25">
      <c r="A27" s="203"/>
      <c r="B27" s="138" t="s">
        <v>20</v>
      </c>
      <c r="C27" s="28"/>
      <c r="D27" s="20"/>
      <c r="E27" s="185"/>
      <c r="F27" s="185"/>
      <c r="G27" s="185"/>
      <c r="H27" s="185"/>
      <c r="I27" s="188"/>
      <c r="J27" s="188"/>
      <c r="K27" s="20"/>
      <c r="L27" s="25"/>
      <c r="M27" s="28"/>
      <c r="N27" s="20"/>
      <c r="O27" s="185"/>
      <c r="P27" s="185"/>
      <c r="Q27" s="185"/>
      <c r="R27" s="185"/>
      <c r="S27" s="188"/>
      <c r="T27" s="188"/>
      <c r="U27" s="20"/>
      <c r="V27" s="25"/>
      <c r="W27" s="28"/>
      <c r="X27" s="20"/>
      <c r="Y27" s="185"/>
      <c r="Z27" s="185"/>
      <c r="AA27" s="185"/>
      <c r="AB27" s="185"/>
      <c r="AC27" s="188"/>
      <c r="AD27" s="188"/>
      <c r="AE27" s="20"/>
      <c r="AF27" s="25"/>
      <c r="AG27" s="28"/>
      <c r="AH27" s="20"/>
      <c r="AI27" s="185"/>
      <c r="AJ27" s="185"/>
      <c r="AK27" s="185"/>
      <c r="AL27" s="185"/>
      <c r="AM27" s="188"/>
      <c r="AN27" s="188"/>
      <c r="AO27" s="20"/>
      <c r="AP27" s="25"/>
      <c r="AQ27" s="28"/>
      <c r="AR27" s="20"/>
      <c r="AS27" s="185"/>
      <c r="AT27" s="185"/>
      <c r="AU27" s="185"/>
      <c r="AV27" s="185"/>
      <c r="AW27" s="188"/>
      <c r="AX27" s="188"/>
      <c r="AY27" s="20"/>
      <c r="AZ27" s="25"/>
      <c r="BA27" s="28"/>
      <c r="BB27" s="20"/>
      <c r="BC27" s="185"/>
      <c r="BD27" s="185"/>
      <c r="BE27" s="185"/>
      <c r="BF27" s="185"/>
      <c r="BG27" s="188"/>
      <c r="BH27" s="188"/>
      <c r="BI27" s="20"/>
      <c r="BJ27" s="25"/>
      <c r="BK27" s="28"/>
      <c r="BL27" s="20"/>
      <c r="BM27" s="185"/>
      <c r="BN27" s="185"/>
      <c r="BO27" s="185"/>
      <c r="BP27" s="185"/>
      <c r="BQ27" s="188"/>
      <c r="BR27" s="188"/>
      <c r="BS27" s="20"/>
      <c r="BT27" s="25"/>
      <c r="BU27" s="1"/>
      <c r="BV27" s="1"/>
    </row>
    <row r="28" spans="1:79" ht="15" customHeight="1" thickBot="1" x14ac:dyDescent="0.25">
      <c r="A28" s="203"/>
      <c r="B28" s="138" t="s">
        <v>21</v>
      </c>
      <c r="C28" s="28"/>
      <c r="D28" s="20"/>
      <c r="E28" s="186"/>
      <c r="F28" s="186"/>
      <c r="G28" s="185"/>
      <c r="H28" s="185"/>
      <c r="I28" s="188"/>
      <c r="J28" s="188"/>
      <c r="K28" s="20"/>
      <c r="L28" s="25"/>
      <c r="M28" s="28"/>
      <c r="N28" s="20"/>
      <c r="O28" s="186"/>
      <c r="P28" s="186"/>
      <c r="Q28" s="185"/>
      <c r="R28" s="185"/>
      <c r="S28" s="188"/>
      <c r="T28" s="188"/>
      <c r="U28" s="20"/>
      <c r="V28" s="25"/>
      <c r="W28" s="28"/>
      <c r="X28" s="20"/>
      <c r="Y28" s="186"/>
      <c r="Z28" s="186"/>
      <c r="AA28" s="185"/>
      <c r="AB28" s="185"/>
      <c r="AC28" s="188"/>
      <c r="AD28" s="188"/>
      <c r="AE28" s="20"/>
      <c r="AF28" s="25"/>
      <c r="AG28" s="28"/>
      <c r="AH28" s="20"/>
      <c r="AI28" s="186"/>
      <c r="AJ28" s="186"/>
      <c r="AK28" s="185"/>
      <c r="AL28" s="185"/>
      <c r="AM28" s="188"/>
      <c r="AN28" s="188"/>
      <c r="AO28" s="20"/>
      <c r="AP28" s="25"/>
      <c r="AQ28" s="28"/>
      <c r="AR28" s="20"/>
      <c r="AS28" s="186"/>
      <c r="AT28" s="186"/>
      <c r="AU28" s="185"/>
      <c r="AV28" s="185"/>
      <c r="AW28" s="188"/>
      <c r="AX28" s="188"/>
      <c r="AY28" s="20"/>
      <c r="AZ28" s="25"/>
      <c r="BA28" s="28"/>
      <c r="BB28" s="20"/>
      <c r="BC28" s="186"/>
      <c r="BD28" s="186"/>
      <c r="BE28" s="185"/>
      <c r="BF28" s="185"/>
      <c r="BG28" s="188"/>
      <c r="BH28" s="188"/>
      <c r="BI28" s="20"/>
      <c r="BJ28" s="25"/>
      <c r="BK28" s="28"/>
      <c r="BL28" s="20"/>
      <c r="BM28" s="186"/>
      <c r="BN28" s="186"/>
      <c r="BO28" s="185"/>
      <c r="BP28" s="185"/>
      <c r="BQ28" s="188"/>
      <c r="BR28" s="188"/>
      <c r="BS28" s="20"/>
      <c r="BT28" s="25"/>
      <c r="BU28" s="1"/>
      <c r="BV28" s="1"/>
    </row>
    <row r="29" spans="1:79" ht="15" customHeight="1" thickBot="1" x14ac:dyDescent="0.25">
      <c r="A29" s="203"/>
      <c r="B29" s="138" t="s">
        <v>22</v>
      </c>
      <c r="C29" s="28"/>
      <c r="D29" s="20"/>
      <c r="E29" s="20"/>
      <c r="F29" s="20"/>
      <c r="G29" s="185"/>
      <c r="H29" s="185"/>
      <c r="I29" s="188"/>
      <c r="J29" s="188"/>
      <c r="K29" s="20"/>
      <c r="L29" s="25"/>
      <c r="M29" s="28"/>
      <c r="N29" s="20"/>
      <c r="O29" s="20"/>
      <c r="P29" s="20"/>
      <c r="Q29" s="185"/>
      <c r="R29" s="185"/>
      <c r="S29" s="188"/>
      <c r="T29" s="188"/>
      <c r="U29" s="20"/>
      <c r="V29" s="25"/>
      <c r="W29" s="28"/>
      <c r="X29" s="20"/>
      <c r="Y29" s="20"/>
      <c r="Z29" s="20"/>
      <c r="AA29" s="185"/>
      <c r="AB29" s="185"/>
      <c r="AC29" s="188"/>
      <c r="AD29" s="188"/>
      <c r="AE29" s="20"/>
      <c r="AF29" s="25"/>
      <c r="AG29" s="28"/>
      <c r="AH29" s="20"/>
      <c r="AI29" s="20"/>
      <c r="AJ29" s="20"/>
      <c r="AK29" s="185"/>
      <c r="AL29" s="185"/>
      <c r="AM29" s="188"/>
      <c r="AN29" s="188"/>
      <c r="AO29" s="20"/>
      <c r="AP29" s="25"/>
      <c r="AQ29" s="28"/>
      <c r="AR29" s="20"/>
      <c r="AS29" s="20"/>
      <c r="AT29" s="20"/>
      <c r="AU29" s="185"/>
      <c r="AV29" s="185"/>
      <c r="AW29" s="188"/>
      <c r="AX29" s="188"/>
      <c r="AY29" s="20"/>
      <c r="AZ29" s="25"/>
      <c r="BA29" s="28"/>
      <c r="BB29" s="20"/>
      <c r="BC29" s="20"/>
      <c r="BD29" s="20"/>
      <c r="BE29" s="185"/>
      <c r="BF29" s="185"/>
      <c r="BG29" s="188"/>
      <c r="BH29" s="188"/>
      <c r="BI29" s="20"/>
      <c r="BJ29" s="25"/>
      <c r="BK29" s="28"/>
      <c r="BL29" s="20"/>
      <c r="BM29" s="20"/>
      <c r="BN29" s="20"/>
      <c r="BO29" s="185"/>
      <c r="BP29" s="185"/>
      <c r="BQ29" s="188"/>
      <c r="BR29" s="188"/>
      <c r="BS29" s="20"/>
      <c r="BT29" s="25"/>
      <c r="BU29" s="1"/>
      <c r="BV29" s="1"/>
    </row>
    <row r="30" spans="1:79" ht="15" customHeight="1" thickBot="1" x14ac:dyDescent="0.25">
      <c r="A30" s="203"/>
      <c r="B30" s="138" t="s">
        <v>23</v>
      </c>
      <c r="C30" s="27"/>
      <c r="D30" s="20"/>
      <c r="E30" s="20"/>
      <c r="F30" s="21"/>
      <c r="G30" s="186"/>
      <c r="H30" s="186"/>
      <c r="I30" s="188"/>
      <c r="J30" s="188"/>
      <c r="K30" s="20"/>
      <c r="L30" s="25"/>
      <c r="M30" s="27"/>
      <c r="N30" s="20"/>
      <c r="O30" s="20"/>
      <c r="P30" s="21"/>
      <c r="Q30" s="186"/>
      <c r="R30" s="186"/>
      <c r="S30" s="188"/>
      <c r="T30" s="188"/>
      <c r="U30" s="20"/>
      <c r="V30" s="25"/>
      <c r="W30" s="27"/>
      <c r="X30" s="20"/>
      <c r="Y30" s="20"/>
      <c r="Z30" s="21"/>
      <c r="AA30" s="186"/>
      <c r="AB30" s="186"/>
      <c r="AC30" s="188"/>
      <c r="AD30" s="188"/>
      <c r="AE30" s="20"/>
      <c r="AF30" s="25"/>
      <c r="AG30" s="27"/>
      <c r="AH30" s="20"/>
      <c r="AI30" s="20"/>
      <c r="AJ30" s="21"/>
      <c r="AK30" s="186"/>
      <c r="AL30" s="186"/>
      <c r="AM30" s="188"/>
      <c r="AN30" s="188"/>
      <c r="AO30" s="20"/>
      <c r="AP30" s="25"/>
      <c r="AQ30" s="27"/>
      <c r="AR30" s="20"/>
      <c r="AS30" s="20"/>
      <c r="AT30" s="21"/>
      <c r="AU30" s="186"/>
      <c r="AV30" s="186"/>
      <c r="AW30" s="188"/>
      <c r="AX30" s="188"/>
      <c r="AY30" s="20"/>
      <c r="AZ30" s="25"/>
      <c r="BA30" s="27"/>
      <c r="BB30" s="20"/>
      <c r="BC30" s="20"/>
      <c r="BD30" s="21"/>
      <c r="BE30" s="186"/>
      <c r="BF30" s="186"/>
      <c r="BG30" s="188"/>
      <c r="BH30" s="188"/>
      <c r="BI30" s="20"/>
      <c r="BJ30" s="25"/>
      <c r="BK30" s="27"/>
      <c r="BL30" s="20"/>
      <c r="BM30" s="20"/>
      <c r="BN30" s="21"/>
      <c r="BO30" s="186"/>
      <c r="BP30" s="186"/>
      <c r="BQ30" s="188"/>
      <c r="BR30" s="188"/>
      <c r="BS30" s="20"/>
      <c r="BT30" s="25"/>
      <c r="BU30" s="1"/>
      <c r="BV30" s="1"/>
    </row>
    <row r="31" spans="1:79" ht="15" customHeight="1" thickBot="1" x14ac:dyDescent="0.25">
      <c r="A31" s="204"/>
      <c r="B31" s="138" t="s">
        <v>24</v>
      </c>
      <c r="C31" s="144"/>
      <c r="D31" s="142"/>
      <c r="E31" s="142"/>
      <c r="F31" s="142"/>
      <c r="G31" s="142"/>
      <c r="H31" s="142"/>
      <c r="I31" s="188"/>
      <c r="J31" s="188"/>
      <c r="K31" s="142"/>
      <c r="L31" s="143"/>
      <c r="M31" s="144"/>
      <c r="N31" s="142"/>
      <c r="O31" s="142"/>
      <c r="P31" s="142"/>
      <c r="Q31" s="142"/>
      <c r="R31" s="142"/>
      <c r="S31" s="188"/>
      <c r="T31" s="188"/>
      <c r="U31" s="142"/>
      <c r="V31" s="143"/>
      <c r="W31" s="144"/>
      <c r="X31" s="142"/>
      <c r="Y31" s="142"/>
      <c r="Z31" s="142"/>
      <c r="AA31" s="142"/>
      <c r="AB31" s="142"/>
      <c r="AC31" s="188"/>
      <c r="AD31" s="188"/>
      <c r="AE31" s="142"/>
      <c r="AF31" s="143"/>
      <c r="AG31" s="144"/>
      <c r="AH31" s="142"/>
      <c r="AI31" s="142"/>
      <c r="AJ31" s="142"/>
      <c r="AK31" s="142"/>
      <c r="AL31" s="142"/>
      <c r="AM31" s="188"/>
      <c r="AN31" s="188"/>
      <c r="AO31" s="142"/>
      <c r="AP31" s="143"/>
      <c r="AQ31" s="144"/>
      <c r="AR31" s="142"/>
      <c r="AS31" s="142"/>
      <c r="AT31" s="142"/>
      <c r="AU31" s="142"/>
      <c r="AV31" s="142"/>
      <c r="AW31" s="188"/>
      <c r="AX31" s="188"/>
      <c r="AY31" s="142"/>
      <c r="AZ31" s="143"/>
      <c r="BA31" s="144"/>
      <c r="BB31" s="142"/>
      <c r="BC31" s="142"/>
      <c r="BD31" s="142"/>
      <c r="BE31" s="142"/>
      <c r="BF31" s="142"/>
      <c r="BG31" s="188"/>
      <c r="BH31" s="188"/>
      <c r="BI31" s="142"/>
      <c r="BJ31" s="143"/>
      <c r="BK31" s="144"/>
      <c r="BL31" s="142"/>
      <c r="BM31" s="142"/>
      <c r="BN31" s="142"/>
      <c r="BO31" s="142"/>
      <c r="BP31" s="142"/>
      <c r="BQ31" s="188"/>
      <c r="BR31" s="188"/>
      <c r="BS31" s="142"/>
      <c r="BT31" s="143"/>
      <c r="BU31" s="1"/>
      <c r="BV31" s="1"/>
    </row>
    <row r="32" spans="1:79" ht="15" customHeight="1" thickBot="1" x14ac:dyDescent="0.25">
      <c r="A32" s="134"/>
      <c r="B32" s="141" t="s">
        <v>1</v>
      </c>
      <c r="C32" s="149"/>
      <c r="D32" s="145"/>
      <c r="E32" s="145"/>
      <c r="F32" s="145"/>
      <c r="G32" s="145"/>
      <c r="H32" s="145"/>
      <c r="I32" s="188"/>
      <c r="J32" s="188"/>
      <c r="K32" s="145"/>
      <c r="L32" s="150"/>
      <c r="M32" s="149"/>
      <c r="N32" s="145"/>
      <c r="O32" s="145"/>
      <c r="P32" s="145"/>
      <c r="Q32" s="145"/>
      <c r="R32" s="145"/>
      <c r="S32" s="188"/>
      <c r="T32" s="188"/>
      <c r="U32" s="145"/>
      <c r="V32" s="150"/>
      <c r="W32" s="149"/>
      <c r="X32" s="145"/>
      <c r="Y32" s="145"/>
      <c r="Z32" s="145"/>
      <c r="AA32" s="145"/>
      <c r="AB32" s="145"/>
      <c r="AC32" s="188"/>
      <c r="AD32" s="188"/>
      <c r="AE32" s="145"/>
      <c r="AF32" s="150"/>
      <c r="AG32" s="149"/>
      <c r="AH32" s="145"/>
      <c r="AI32" s="145"/>
      <c r="AJ32" s="145"/>
      <c r="AK32" s="145"/>
      <c r="AL32" s="145"/>
      <c r="AM32" s="188"/>
      <c r="AN32" s="188"/>
      <c r="AO32" s="145"/>
      <c r="AP32" s="150"/>
      <c r="AQ32" s="149"/>
      <c r="AR32" s="145"/>
      <c r="AS32" s="145"/>
      <c r="AT32" s="145"/>
      <c r="AU32" s="145"/>
      <c r="AV32" s="145"/>
      <c r="AW32" s="188"/>
      <c r="AX32" s="188"/>
      <c r="AY32" s="145"/>
      <c r="AZ32" s="150"/>
      <c r="BA32" s="149"/>
      <c r="BB32" s="145"/>
      <c r="BC32" s="145"/>
      <c r="BD32" s="145"/>
      <c r="BE32" s="145"/>
      <c r="BF32" s="145"/>
      <c r="BG32" s="188"/>
      <c r="BH32" s="188"/>
      <c r="BI32" s="145"/>
      <c r="BJ32" s="150"/>
      <c r="BK32" s="149"/>
      <c r="BL32" s="145"/>
      <c r="BM32" s="145"/>
      <c r="BN32" s="145"/>
      <c r="BO32" s="145"/>
      <c r="BP32" s="145"/>
      <c r="BQ32" s="188"/>
      <c r="BR32" s="188"/>
      <c r="BS32" s="145"/>
      <c r="BT32" s="150"/>
      <c r="BU32" s="1"/>
      <c r="BV32" s="1"/>
    </row>
    <row r="33" spans="1:74" ht="15" customHeight="1" thickBot="1" x14ac:dyDescent="0.25">
      <c r="A33" s="134"/>
      <c r="B33" s="138" t="s">
        <v>2</v>
      </c>
      <c r="C33" s="136"/>
      <c r="D33" s="135"/>
      <c r="E33" s="135"/>
      <c r="F33" s="135"/>
      <c r="G33" s="135"/>
      <c r="H33" s="135"/>
      <c r="I33" s="189"/>
      <c r="J33" s="189"/>
      <c r="K33" s="135"/>
      <c r="L33" s="137"/>
      <c r="M33" s="136"/>
      <c r="N33" s="135"/>
      <c r="O33" s="135"/>
      <c r="P33" s="135"/>
      <c r="Q33" s="135"/>
      <c r="R33" s="135"/>
      <c r="S33" s="189"/>
      <c r="T33" s="189"/>
      <c r="U33" s="135"/>
      <c r="V33" s="137"/>
      <c r="W33" s="136"/>
      <c r="X33" s="135"/>
      <c r="Y33" s="135"/>
      <c r="Z33" s="135"/>
      <c r="AA33" s="135"/>
      <c r="AB33" s="135"/>
      <c r="AC33" s="189"/>
      <c r="AD33" s="189"/>
      <c r="AE33" s="135"/>
      <c r="AF33" s="137"/>
      <c r="AG33" s="136"/>
      <c r="AH33" s="135"/>
      <c r="AI33" s="135"/>
      <c r="AJ33" s="135"/>
      <c r="AK33" s="135"/>
      <c r="AL33" s="135"/>
      <c r="AM33" s="189"/>
      <c r="AN33" s="189"/>
      <c r="AO33" s="135"/>
      <c r="AP33" s="137"/>
      <c r="AQ33" s="136"/>
      <c r="AR33" s="135"/>
      <c r="AS33" s="135"/>
      <c r="AT33" s="135"/>
      <c r="AU33" s="135"/>
      <c r="AV33" s="135"/>
      <c r="AW33" s="189"/>
      <c r="AX33" s="189"/>
      <c r="AY33" s="135"/>
      <c r="AZ33" s="137"/>
      <c r="BA33" s="136"/>
      <c r="BB33" s="135"/>
      <c r="BC33" s="135"/>
      <c r="BD33" s="135"/>
      <c r="BE33" s="135"/>
      <c r="BF33" s="135"/>
      <c r="BG33" s="189"/>
      <c r="BH33" s="189"/>
      <c r="BI33" s="135"/>
      <c r="BJ33" s="137"/>
      <c r="BK33" s="136"/>
      <c r="BL33" s="135"/>
      <c r="BM33" s="135"/>
      <c r="BN33" s="135"/>
      <c r="BO33" s="135"/>
      <c r="BP33" s="135"/>
      <c r="BQ33" s="189"/>
      <c r="BR33" s="189"/>
      <c r="BS33" s="135"/>
      <c r="BT33" s="137"/>
      <c r="BU33" s="1"/>
      <c r="BV33" s="1"/>
    </row>
    <row r="34" spans="1:74" ht="15" customHeight="1" thickBot="1" x14ac:dyDescent="0.25">
      <c r="A34" s="202" t="s">
        <v>25</v>
      </c>
      <c r="B34" s="195" t="str">
        <f>UPPER(TEXT(Configuração!K9,"[$]ddd"))</f>
        <v>QUA</v>
      </c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5" t="str">
        <f>UPPER(TEXT(Configuração!L9,"[$]ddd"))</f>
        <v>QUI</v>
      </c>
      <c r="N34" s="196"/>
      <c r="O34" s="196"/>
      <c r="P34" s="196"/>
      <c r="Q34" s="196"/>
      <c r="R34" s="196"/>
      <c r="S34" s="196"/>
      <c r="T34" s="196"/>
      <c r="U34" s="196"/>
      <c r="V34" s="197"/>
      <c r="W34" s="196" t="str">
        <f>UPPER(TEXT(Configuração!M9,"[$]ddd"))</f>
        <v>SEX</v>
      </c>
      <c r="X34" s="196"/>
      <c r="Y34" s="196"/>
      <c r="Z34" s="196"/>
      <c r="AA34" s="196"/>
      <c r="AB34" s="196"/>
      <c r="AC34" s="196"/>
      <c r="AD34" s="196"/>
      <c r="AE34" s="196"/>
      <c r="AF34" s="196"/>
      <c r="AG34" s="195" t="str">
        <f>UPPER(TEXT(Configuração!N8,"[$]ddd"))</f>
        <v>SÁB</v>
      </c>
      <c r="AH34" s="196"/>
      <c r="AI34" s="196"/>
      <c r="AJ34" s="196"/>
      <c r="AK34" s="196"/>
      <c r="AL34" s="196"/>
      <c r="AM34" s="196"/>
      <c r="AN34" s="196"/>
      <c r="AO34" s="196"/>
      <c r="AP34" s="197"/>
      <c r="AQ34" s="195" t="str">
        <f>UPPER(TEXT(Configuração!O8,"[$]ddd"))</f>
        <v>DOM</v>
      </c>
      <c r="AR34" s="196"/>
      <c r="AS34" s="196"/>
      <c r="AT34" s="196"/>
      <c r="AU34" s="196"/>
      <c r="AV34" s="196"/>
      <c r="AW34" s="196"/>
      <c r="AX34" s="196"/>
      <c r="AY34" s="196"/>
      <c r="AZ34" s="197"/>
      <c r="BA34" s="195" t="str">
        <f>UPPER(TEXT(Configuração!P8,"[$]ddd"))</f>
        <v>SEG</v>
      </c>
      <c r="BB34" s="196"/>
      <c r="BC34" s="196"/>
      <c r="BD34" s="196"/>
      <c r="BE34" s="196"/>
      <c r="BF34" s="196"/>
      <c r="BG34" s="196"/>
      <c r="BH34" s="196"/>
      <c r="BI34" s="196"/>
      <c r="BJ34" s="197"/>
      <c r="BK34" s="195" t="str">
        <f>UPPER(TEXT(Configuração!Q8,"[$]ddd"))</f>
        <v>TER</v>
      </c>
      <c r="BL34" s="196"/>
      <c r="BM34" s="196"/>
      <c r="BN34" s="196"/>
      <c r="BO34" s="196"/>
      <c r="BP34" s="196"/>
      <c r="BQ34" s="196"/>
      <c r="BR34" s="196"/>
      <c r="BS34" s="196"/>
      <c r="BT34" s="197"/>
      <c r="BU34" s="1"/>
      <c r="BV34" s="1"/>
    </row>
    <row r="35" spans="1:74" ht="15" customHeight="1" thickBot="1" x14ac:dyDescent="0.25">
      <c r="A35" s="203"/>
      <c r="B35" s="198"/>
      <c r="C35" s="205">
        <f>Configuração!K9</f>
        <v>45420</v>
      </c>
      <c r="D35" s="206"/>
      <c r="E35" s="206"/>
      <c r="F35" s="206"/>
      <c r="G35" s="206"/>
      <c r="H35" s="206"/>
      <c r="I35" s="206"/>
      <c r="J35" s="206"/>
      <c r="K35" s="206"/>
      <c r="L35" s="207"/>
      <c r="M35" s="205">
        <f>Configuração!L9</f>
        <v>45421</v>
      </c>
      <c r="N35" s="206"/>
      <c r="O35" s="206"/>
      <c r="P35" s="206"/>
      <c r="Q35" s="206"/>
      <c r="R35" s="206"/>
      <c r="S35" s="206"/>
      <c r="T35" s="206"/>
      <c r="U35" s="206"/>
      <c r="V35" s="207"/>
      <c r="W35" s="205">
        <f>Configuração!M9</f>
        <v>45422</v>
      </c>
      <c r="X35" s="206"/>
      <c r="Y35" s="206"/>
      <c r="Z35" s="206"/>
      <c r="AA35" s="206"/>
      <c r="AB35" s="206"/>
      <c r="AC35" s="206"/>
      <c r="AD35" s="206"/>
      <c r="AE35" s="206"/>
      <c r="AF35" s="207"/>
      <c r="AG35" s="205">
        <f>Configuração!N9</f>
        <v>45423</v>
      </c>
      <c r="AH35" s="206"/>
      <c r="AI35" s="206"/>
      <c r="AJ35" s="206"/>
      <c r="AK35" s="206"/>
      <c r="AL35" s="206"/>
      <c r="AM35" s="206"/>
      <c r="AN35" s="206"/>
      <c r="AO35" s="206"/>
      <c r="AP35" s="207"/>
      <c r="AQ35" s="205">
        <f>Configuração!O9</f>
        <v>45424</v>
      </c>
      <c r="AR35" s="206"/>
      <c r="AS35" s="206"/>
      <c r="AT35" s="206"/>
      <c r="AU35" s="206"/>
      <c r="AV35" s="206"/>
      <c r="AW35" s="206"/>
      <c r="AX35" s="206"/>
      <c r="AY35" s="206"/>
      <c r="AZ35" s="207"/>
      <c r="BA35" s="205">
        <f>Configuração!P9</f>
        <v>45425</v>
      </c>
      <c r="BB35" s="206"/>
      <c r="BC35" s="206"/>
      <c r="BD35" s="206"/>
      <c r="BE35" s="206"/>
      <c r="BF35" s="206"/>
      <c r="BG35" s="206"/>
      <c r="BH35" s="206"/>
      <c r="BI35" s="206"/>
      <c r="BJ35" s="207"/>
      <c r="BK35" s="205">
        <f>Configuração!Q9</f>
        <v>45426</v>
      </c>
      <c r="BL35" s="206"/>
      <c r="BM35" s="206"/>
      <c r="BN35" s="206"/>
      <c r="BO35" s="206"/>
      <c r="BP35" s="206"/>
      <c r="BQ35" s="206"/>
      <c r="BR35" s="206"/>
      <c r="BS35" s="206"/>
      <c r="BT35" s="207"/>
      <c r="BU35" s="1"/>
      <c r="BV35" s="1"/>
    </row>
    <row r="36" spans="1:74" ht="15" customHeight="1" thickBot="1" x14ac:dyDescent="0.25">
      <c r="A36" s="203"/>
      <c r="B36" s="199"/>
      <c r="C36" s="64">
        <v>1</v>
      </c>
      <c r="D36" s="65">
        <v>2</v>
      </c>
      <c r="E36" s="66">
        <v>3</v>
      </c>
      <c r="F36" s="66">
        <v>4</v>
      </c>
      <c r="G36" s="66">
        <v>5</v>
      </c>
      <c r="H36" s="65">
        <v>6</v>
      </c>
      <c r="I36" s="147">
        <v>7</v>
      </c>
      <c r="J36" s="65">
        <v>8</v>
      </c>
      <c r="K36" s="65">
        <v>9</v>
      </c>
      <c r="L36" s="63">
        <v>10</v>
      </c>
      <c r="M36" s="64">
        <v>1</v>
      </c>
      <c r="N36" s="65">
        <v>2</v>
      </c>
      <c r="O36" s="66">
        <v>3</v>
      </c>
      <c r="P36" s="66">
        <v>4</v>
      </c>
      <c r="Q36" s="66">
        <v>5</v>
      </c>
      <c r="R36" s="65">
        <v>6</v>
      </c>
      <c r="S36" s="147">
        <v>7</v>
      </c>
      <c r="T36" s="65">
        <v>8</v>
      </c>
      <c r="U36" s="65">
        <v>9</v>
      </c>
      <c r="V36" s="63">
        <v>10</v>
      </c>
      <c r="W36" s="64">
        <v>1</v>
      </c>
      <c r="X36" s="65">
        <v>2</v>
      </c>
      <c r="Y36" s="66">
        <v>3</v>
      </c>
      <c r="Z36" s="66">
        <v>4</v>
      </c>
      <c r="AA36" s="66">
        <v>5</v>
      </c>
      <c r="AB36" s="65">
        <v>6</v>
      </c>
      <c r="AC36" s="147">
        <v>7</v>
      </c>
      <c r="AD36" s="65">
        <v>8</v>
      </c>
      <c r="AE36" s="65">
        <v>9</v>
      </c>
      <c r="AF36" s="63">
        <v>10</v>
      </c>
      <c r="AG36" s="64">
        <v>1</v>
      </c>
      <c r="AH36" s="65">
        <v>2</v>
      </c>
      <c r="AI36" s="66">
        <v>3</v>
      </c>
      <c r="AJ36" s="66">
        <v>4</v>
      </c>
      <c r="AK36" s="66">
        <v>5</v>
      </c>
      <c r="AL36" s="65">
        <v>6</v>
      </c>
      <c r="AM36" s="147">
        <v>7</v>
      </c>
      <c r="AN36" s="65">
        <v>8</v>
      </c>
      <c r="AO36" s="65">
        <v>9</v>
      </c>
      <c r="AP36" s="63">
        <v>10</v>
      </c>
      <c r="AQ36" s="64">
        <v>1</v>
      </c>
      <c r="AR36" s="65">
        <v>2</v>
      </c>
      <c r="AS36" s="66">
        <v>3</v>
      </c>
      <c r="AT36" s="66">
        <v>4</v>
      </c>
      <c r="AU36" s="66">
        <v>5</v>
      </c>
      <c r="AV36" s="65">
        <v>6</v>
      </c>
      <c r="AW36" s="147">
        <v>7</v>
      </c>
      <c r="AX36" s="65">
        <v>8</v>
      </c>
      <c r="AY36" s="65">
        <v>9</v>
      </c>
      <c r="AZ36" s="63">
        <v>10</v>
      </c>
      <c r="BA36" s="64">
        <v>1</v>
      </c>
      <c r="BB36" s="65">
        <v>2</v>
      </c>
      <c r="BC36" s="66">
        <v>3</v>
      </c>
      <c r="BD36" s="66">
        <v>4</v>
      </c>
      <c r="BE36" s="66">
        <v>5</v>
      </c>
      <c r="BF36" s="65">
        <v>6</v>
      </c>
      <c r="BG36" s="147">
        <v>7</v>
      </c>
      <c r="BH36" s="65">
        <v>8</v>
      </c>
      <c r="BI36" s="65">
        <v>9</v>
      </c>
      <c r="BJ36" s="63">
        <v>10</v>
      </c>
      <c r="BK36" s="64">
        <v>1</v>
      </c>
      <c r="BL36" s="65">
        <v>2</v>
      </c>
      <c r="BM36" s="66">
        <v>3</v>
      </c>
      <c r="BN36" s="66">
        <v>4</v>
      </c>
      <c r="BO36" s="66">
        <v>5</v>
      </c>
      <c r="BP36" s="65">
        <v>6</v>
      </c>
      <c r="BQ36" s="147">
        <v>7</v>
      </c>
      <c r="BR36" s="65">
        <v>8</v>
      </c>
      <c r="BS36" s="65">
        <v>9</v>
      </c>
      <c r="BT36" s="63">
        <v>10</v>
      </c>
      <c r="BU36" s="1"/>
      <c r="BV36" s="1"/>
    </row>
    <row r="37" spans="1:74" ht="15" customHeight="1" thickBot="1" x14ac:dyDescent="0.25">
      <c r="A37" s="203"/>
      <c r="B37" s="138" t="s">
        <v>1</v>
      </c>
      <c r="C37" s="27"/>
      <c r="D37" s="20"/>
      <c r="E37" s="20"/>
      <c r="F37" s="21"/>
      <c r="G37" s="20"/>
      <c r="H37" s="20"/>
      <c r="I37" s="20"/>
      <c r="J37" s="19"/>
      <c r="K37" s="20"/>
      <c r="L37" s="25"/>
      <c r="M37" s="27"/>
      <c r="N37" s="20"/>
      <c r="O37" s="20"/>
      <c r="P37" s="21"/>
      <c r="Q37" s="20"/>
      <c r="R37" s="20"/>
      <c r="S37" s="20"/>
      <c r="T37" s="19"/>
      <c r="U37" s="20"/>
      <c r="V37" s="25"/>
      <c r="W37" s="27"/>
      <c r="X37" s="20"/>
      <c r="Y37" s="20"/>
      <c r="Z37" s="21"/>
      <c r="AA37" s="20"/>
      <c r="AB37" s="20"/>
      <c r="AC37" s="20"/>
      <c r="AD37" s="19"/>
      <c r="AE37" s="20"/>
      <c r="AF37" s="25"/>
      <c r="AG37" s="27"/>
      <c r="AH37" s="20"/>
      <c r="AI37" s="20"/>
      <c r="AJ37" s="21"/>
      <c r="AK37" s="20"/>
      <c r="AL37" s="20"/>
      <c r="AM37" s="20"/>
      <c r="AN37" s="19"/>
      <c r="AO37" s="20"/>
      <c r="AP37" s="25"/>
      <c r="AQ37" s="27"/>
      <c r="AR37" s="20"/>
      <c r="AS37" s="20"/>
      <c r="AT37" s="21"/>
      <c r="AU37" s="20"/>
      <c r="AV37" s="20"/>
      <c r="AW37" s="20"/>
      <c r="AX37" s="19"/>
      <c r="AY37" s="20"/>
      <c r="AZ37" s="25"/>
      <c r="BA37" s="27"/>
      <c r="BB37" s="20"/>
      <c r="BC37" s="20"/>
      <c r="BD37" s="21"/>
      <c r="BE37" s="20"/>
      <c r="BF37" s="20"/>
      <c r="BG37" s="20"/>
      <c r="BH37" s="19"/>
      <c r="BI37" s="20"/>
      <c r="BJ37" s="25"/>
      <c r="BK37" s="27"/>
      <c r="BL37" s="20"/>
      <c r="BM37" s="20"/>
      <c r="BN37" s="21"/>
      <c r="BO37" s="20"/>
      <c r="BP37" s="20"/>
      <c r="BQ37" s="20"/>
      <c r="BR37" s="19"/>
      <c r="BS37" s="20"/>
      <c r="BT37" s="25"/>
      <c r="BU37" s="1"/>
      <c r="BV37" s="1"/>
    </row>
    <row r="38" spans="1:74" ht="15" customHeight="1" thickBot="1" x14ac:dyDescent="0.25">
      <c r="A38" s="203"/>
      <c r="B38" s="139" t="s">
        <v>75</v>
      </c>
      <c r="C38" s="28"/>
      <c r="D38" s="20"/>
      <c r="E38" s="20"/>
      <c r="F38" s="20"/>
      <c r="G38" s="20"/>
      <c r="H38" s="20"/>
      <c r="I38" s="20"/>
      <c r="J38" s="18"/>
      <c r="K38" s="184" t="str">
        <f>IF(Configuração!K18=EscalaLinear!BY5,10,IF(Configuração!K18=BY6,9,IF(Configuração!K18=BY7,8,IF(Configuração!K18=BY8,7,IF(Configuração!K18=BY9,6,IF(Configuração!K18=BY10,5,IF(Configuração!K18=BY11,4,IF(Configuração!K18=BY12,3,IF(Configuração!K18=BY13,2,IF(Configuração!K18=BY14,1,""))))))))))</f>
        <v/>
      </c>
      <c r="L38" s="190" t="str">
        <f>IF(Configuração!K19=EscalaLinear!BY5,10,IF(Configuração!K19=BY6,9,IF(Configuração!K19=BY7,8,IF(Configuração!K19=BY8,7,IF(Configuração!K19=BY9,6,IF(Configuração!K19=BY10,5,IF(Configuração!K19=BY11,4,IF(Configuração!K19=BY12,3,IF(Configuração!K19=BY13,2,IF(Configuração!K19=BY14,1,""))))))))))</f>
        <v/>
      </c>
      <c r="M38" s="28"/>
      <c r="N38" s="20"/>
      <c r="O38" s="20"/>
      <c r="P38" s="20"/>
      <c r="Q38" s="20"/>
      <c r="R38" s="20"/>
      <c r="S38" s="20"/>
      <c r="T38" s="18"/>
      <c r="U38" s="184" t="str">
        <f>IF(Configuração!L18=EscalaLinear!BY5,10,IF(Configuração!L18=BY6,9,IF(Configuração!L18=BY7,8,IF(Configuração!L18=BY8,7,IF(Configuração!L18=BY9,6,IF(Configuração!L18=BY10,5,IF(Configuração!L18=BY11,4,IF(Configuração!L18=BY12,3,IF(Configuração!L18=BY13,2,IF(Configuração!L18=BY14,1,""))))))))))</f>
        <v/>
      </c>
      <c r="V38" s="190" t="str">
        <f>IF(Configuração!L19=EscalaLinear!BY5,10,IF(Configuração!L19=BY6,9,IF(Configuração!L19=BY7,8,IF(Configuração!L19=BY8,7,IF(Configuração!L19=BY9,6,IF(Configuração!L19=BY10,5,IF(Configuração!L19=BY11,4,IF(Configuração!L19=BY12,3,IF(Configuração!L19=BY13,2,IF(Configuração!L19=BY14,1,""))))))))))</f>
        <v/>
      </c>
      <c r="W38" s="28"/>
      <c r="X38" s="20"/>
      <c r="Y38" s="20"/>
      <c r="Z38" s="20"/>
      <c r="AA38" s="20"/>
      <c r="AB38" s="20"/>
      <c r="AC38" s="20"/>
      <c r="AD38" s="18"/>
      <c r="AE38" s="184" t="str">
        <f>IF(Configuração!M18=EscalaLinear!BY5,10,IF(Configuração!M18=BY6,9,IF(Configuração!M18=BY7,8,IF(Configuração!M18=BY8,7,IF(Configuração!M18=BY9,6,IF(Configuração!M18=BY10,5,IF(Configuração!M18=BY11,4,IF(Configuração!M18=BY12,3,IF(Configuração!M18=BY13,2,IF(Configuração!M18=BY14,1,""))))))))))</f>
        <v/>
      </c>
      <c r="AF38" s="190" t="str">
        <f>IF(Configuração!M19=EscalaLinear!BY5,10,IF(Configuração!M19=BY6,9,IF(Configuração!M19=BY7,8,IF(Configuração!M19=BY8,7,IF(Configuração!M19=BY9,6,IF(Configuração!M19=BY10,5,IF(Configuração!M19=BY11,4,IF(Configuração!M19=BY12,3,IF(Configuração!M19=BY13,2,IF(Configuração!M19=BY14,1,""))))))))))</f>
        <v/>
      </c>
      <c r="AG38" s="28"/>
      <c r="AH38" s="20"/>
      <c r="AI38" s="20"/>
      <c r="AJ38" s="20"/>
      <c r="AK38" s="20"/>
      <c r="AL38" s="20"/>
      <c r="AM38" s="20"/>
      <c r="AN38" s="18"/>
      <c r="AO38" s="184" t="str">
        <f>IF(Configuração!N18=EscalaLinear!BY5,10,IF(Configuração!N18=BY6,9,IF(Configuração!N18=BY7,8,IF(Configuração!N18=BY8,7,IF(Configuração!N18=BY9,6,IF(Configuração!N18=BY10,5,IF(Configuração!N18=BY11,4,IF(Configuração!N18=BY12,3,IF(Configuração!N18=BY13,2,IF(Configuração!N18=BY14,1,""))))))))))</f>
        <v/>
      </c>
      <c r="AP38" s="190" t="str">
        <f>IF(Configuração!N19=EscalaLinear!BY5,10,IF(Configuração!N19=BY6,9,IF(Configuração!N19=BY7,8,IF(Configuração!N19=BY8,7,IF(Configuração!N19=BY9,6,IF(Configuração!N19=BY10,5,IF(Configuração!N19=BY11,4,IF(Configuração!N19=BY12,3,IF(Configuração!N19=BY13,2,IF(Configuração!N19=BY14,1,""))))))))))</f>
        <v/>
      </c>
      <c r="AQ38" s="28"/>
      <c r="AR38" s="20"/>
      <c r="AS38" s="20"/>
      <c r="AT38" s="20"/>
      <c r="AU38" s="20"/>
      <c r="AV38" s="20"/>
      <c r="AW38" s="20"/>
      <c r="AX38" s="18"/>
      <c r="AY38" s="184" t="str">
        <f>IF(Configuração!O18=EscalaLinear!BY5,10,IF(Configuração!O18=BY6,9,IF(Configuração!O18=BY7,8,IF(Configuração!O18=BY8,7,IF(Configuração!O18=BY9,6,IF(Configuração!O18=BY10,5,IF(Configuração!O18=BY11,4,IF(Configuração!O18=BY12,3,IF(Configuração!O18=BY13,2,IF(Configuração!O18=BY14,1,""))))))))))</f>
        <v/>
      </c>
      <c r="AZ38" s="190" t="str">
        <f>IF(Configuração!O19=EscalaLinear!BY5,10,IF(Configuração!O19=BY6,9,IF(Configuração!O19=BY7,8,IF(Configuração!O19=BY8,7,IF(Configuração!O19=BY9,6,IF(Configuração!O19=BY10,5,IF(Configuração!O19=BY11,4,IF(Configuração!O19=BY12,3,IF(Configuração!O19=BY13,2,IF(Configuração!O19=BY14,1,""))))))))))</f>
        <v/>
      </c>
      <c r="BA38" s="28"/>
      <c r="BB38" s="20"/>
      <c r="BC38" s="20"/>
      <c r="BD38" s="20"/>
      <c r="BE38" s="20"/>
      <c r="BF38" s="20"/>
      <c r="BG38" s="20"/>
      <c r="BH38" s="18"/>
      <c r="BI38" s="184" t="str">
        <f>IF(Configuração!P18=EscalaLinear!BY5,10,IF(Configuração!P18=BY6,9,IF(Configuração!P18=BY7,8,IF(Configuração!P18=BY8,7,IF(Configuração!P18=BY9,6,IF(Configuração!P18=BY10,5,IF(Configuração!P18=BY11,4,IF(Configuração!P18=BY12,3,IF(Configuração!P18=BY13,2,IF(Configuração!P18=BY14,1,""))))))))))</f>
        <v/>
      </c>
      <c r="BJ38" s="190" t="str">
        <f>IF(Configuração!P19=EscalaLinear!BY5,10,IF(Configuração!P19=BY6,9,IF(Configuração!P19=BY7,8,IF(Configuração!P19=BY8,7,IF(Configuração!P19=BY9,6,IF(Configuração!P19=BY10,5,IF(Configuração!P19=BY11,4,IF(Configuração!P19=BY12,3,IF(Configuração!P19=BY13,2,IF(Configuração!P19=BY14,1,""))))))))))</f>
        <v/>
      </c>
      <c r="BK38" s="28"/>
      <c r="BL38" s="20"/>
      <c r="BM38" s="20"/>
      <c r="BN38" s="20"/>
      <c r="BO38" s="20"/>
      <c r="BP38" s="20"/>
      <c r="BQ38" s="20"/>
      <c r="BR38" s="18"/>
      <c r="BS38" s="184" t="str">
        <f>IF(Configuração!Q18=EscalaLinear!BY5,10,IF(Configuração!Q18=BY6,9,IF(Configuração!Q18=BY7,8,IF(Configuração!Q18=BY8,7,IF(Configuração!Q18=BY9,6,IF(Configuração!Q18=BY10,5,IF(Configuração!Q18=BY11,4,IF(Configuração!Q18=BY12,3,IF(Configuração!Q18=BY13,2,IF(Configuração!Q18=BY14,1,""))))))))))</f>
        <v/>
      </c>
      <c r="BT38" s="190" t="str">
        <f>IF(Configuração!Q19=EscalaLinear!BY5,10,IF(Configuração!Q19=BY6,9,IF(Configuração!Q19=BY7,8,IF(Configuração!Q19=BY8,7,IF(Configuração!Q19=BY9,6,IF(Configuração!Q19=BY10,5,IF(Configuração!Q19=BY11,4,IF(Configuração!Q19=BY12,3,IF(Configuração!Q19=BY13,2,IF(Configuração!Q19=BY14,1,""))))))))))</f>
        <v/>
      </c>
      <c r="BU38" s="1"/>
      <c r="BV38" s="1"/>
    </row>
    <row r="39" spans="1:74" ht="15" customHeight="1" thickBot="1" x14ac:dyDescent="0.25">
      <c r="A39" s="203"/>
      <c r="B39" s="138" t="s">
        <v>2</v>
      </c>
      <c r="C39" s="28"/>
      <c r="D39" s="20"/>
      <c r="E39" s="20"/>
      <c r="F39" s="20"/>
      <c r="G39" s="20"/>
      <c r="H39" s="20"/>
      <c r="I39" s="20"/>
      <c r="J39" s="18"/>
      <c r="K39" s="185"/>
      <c r="L39" s="191"/>
      <c r="M39" s="28"/>
      <c r="N39" s="20"/>
      <c r="O39" s="20"/>
      <c r="P39" s="20"/>
      <c r="Q39" s="20"/>
      <c r="R39" s="20"/>
      <c r="S39" s="20"/>
      <c r="T39" s="18"/>
      <c r="U39" s="185"/>
      <c r="V39" s="191"/>
      <c r="W39" s="28"/>
      <c r="X39" s="20"/>
      <c r="Y39" s="20"/>
      <c r="Z39" s="20"/>
      <c r="AA39" s="20"/>
      <c r="AB39" s="20"/>
      <c r="AC39" s="20"/>
      <c r="AD39" s="18"/>
      <c r="AE39" s="185"/>
      <c r="AF39" s="191"/>
      <c r="AG39" s="28"/>
      <c r="AH39" s="20"/>
      <c r="AI39" s="20"/>
      <c r="AJ39" s="20"/>
      <c r="AK39" s="20"/>
      <c r="AL39" s="20"/>
      <c r="AM39" s="20"/>
      <c r="AN39" s="18"/>
      <c r="AO39" s="185"/>
      <c r="AP39" s="191"/>
      <c r="AQ39" s="28"/>
      <c r="AR39" s="20"/>
      <c r="AS39" s="20"/>
      <c r="AT39" s="20"/>
      <c r="AU39" s="20"/>
      <c r="AV39" s="20"/>
      <c r="AW39" s="20"/>
      <c r="AX39" s="18"/>
      <c r="AY39" s="185"/>
      <c r="AZ39" s="191"/>
      <c r="BA39" s="28"/>
      <c r="BB39" s="20"/>
      <c r="BC39" s="20"/>
      <c r="BD39" s="20"/>
      <c r="BE39" s="20"/>
      <c r="BF39" s="20"/>
      <c r="BG39" s="20"/>
      <c r="BH39" s="18"/>
      <c r="BI39" s="185"/>
      <c r="BJ39" s="191"/>
      <c r="BK39" s="28"/>
      <c r="BL39" s="20"/>
      <c r="BM39" s="20"/>
      <c r="BN39" s="20"/>
      <c r="BO39" s="20"/>
      <c r="BP39" s="20"/>
      <c r="BQ39" s="20"/>
      <c r="BR39" s="18"/>
      <c r="BS39" s="185"/>
      <c r="BT39" s="191"/>
      <c r="BU39" s="1"/>
      <c r="BV39" s="1"/>
    </row>
    <row r="40" spans="1:74" ht="15" customHeight="1" thickBot="1" x14ac:dyDescent="0.25">
      <c r="A40" s="203"/>
      <c r="B40" s="138" t="s">
        <v>3</v>
      </c>
      <c r="C40" s="28"/>
      <c r="D40" s="20"/>
      <c r="E40" s="20"/>
      <c r="F40" s="20"/>
      <c r="G40" s="20"/>
      <c r="H40" s="20"/>
      <c r="I40" s="20"/>
      <c r="J40" s="18"/>
      <c r="K40" s="185"/>
      <c r="L40" s="191"/>
      <c r="M40" s="28"/>
      <c r="N40" s="20"/>
      <c r="O40" s="20"/>
      <c r="P40" s="20"/>
      <c r="Q40" s="20"/>
      <c r="R40" s="20"/>
      <c r="S40" s="20"/>
      <c r="T40" s="18"/>
      <c r="U40" s="185"/>
      <c r="V40" s="191"/>
      <c r="W40" s="28"/>
      <c r="X40" s="20"/>
      <c r="Y40" s="20"/>
      <c r="Z40" s="20"/>
      <c r="AA40" s="20"/>
      <c r="AB40" s="20"/>
      <c r="AC40" s="20"/>
      <c r="AD40" s="18"/>
      <c r="AE40" s="185"/>
      <c r="AF40" s="191"/>
      <c r="AG40" s="28"/>
      <c r="AH40" s="20"/>
      <c r="AI40" s="20"/>
      <c r="AJ40" s="20"/>
      <c r="AK40" s="20"/>
      <c r="AL40" s="20"/>
      <c r="AM40" s="20"/>
      <c r="AN40" s="18"/>
      <c r="AO40" s="185"/>
      <c r="AP40" s="191"/>
      <c r="AQ40" s="28"/>
      <c r="AR40" s="20"/>
      <c r="AS40" s="20"/>
      <c r="AT40" s="20"/>
      <c r="AU40" s="20"/>
      <c r="AV40" s="20"/>
      <c r="AW40" s="20"/>
      <c r="AX40" s="18"/>
      <c r="AY40" s="185"/>
      <c r="AZ40" s="191"/>
      <c r="BA40" s="28"/>
      <c r="BB40" s="20"/>
      <c r="BC40" s="20"/>
      <c r="BD40" s="20"/>
      <c r="BE40" s="20"/>
      <c r="BF40" s="20"/>
      <c r="BG40" s="20"/>
      <c r="BH40" s="18"/>
      <c r="BI40" s="185"/>
      <c r="BJ40" s="191"/>
      <c r="BK40" s="28"/>
      <c r="BL40" s="20"/>
      <c r="BM40" s="20"/>
      <c r="BN40" s="20"/>
      <c r="BO40" s="20"/>
      <c r="BP40" s="20"/>
      <c r="BQ40" s="20"/>
      <c r="BR40" s="18"/>
      <c r="BS40" s="185"/>
      <c r="BT40" s="191"/>
      <c r="BU40" s="1"/>
      <c r="BV40" s="1"/>
    </row>
    <row r="41" spans="1:74" ht="15" customHeight="1" thickBot="1" x14ac:dyDescent="0.25">
      <c r="A41" s="203"/>
      <c r="B41" s="138" t="s">
        <v>4</v>
      </c>
      <c r="C41" s="28"/>
      <c r="D41" s="20"/>
      <c r="E41" s="20"/>
      <c r="F41" s="20"/>
      <c r="G41" s="20"/>
      <c r="H41" s="20"/>
      <c r="I41" s="20"/>
      <c r="J41" s="18"/>
      <c r="K41" s="185"/>
      <c r="L41" s="191"/>
      <c r="M41" s="28"/>
      <c r="N41" s="20"/>
      <c r="O41" s="20"/>
      <c r="P41" s="20"/>
      <c r="Q41" s="20"/>
      <c r="R41" s="20"/>
      <c r="S41" s="20"/>
      <c r="T41" s="18"/>
      <c r="U41" s="185"/>
      <c r="V41" s="191"/>
      <c r="W41" s="28"/>
      <c r="X41" s="20"/>
      <c r="Y41" s="20"/>
      <c r="Z41" s="20"/>
      <c r="AA41" s="20"/>
      <c r="AB41" s="20"/>
      <c r="AC41" s="20"/>
      <c r="AD41" s="18"/>
      <c r="AE41" s="185"/>
      <c r="AF41" s="191"/>
      <c r="AG41" s="28"/>
      <c r="AH41" s="20"/>
      <c r="AI41" s="20"/>
      <c r="AJ41" s="20"/>
      <c r="AK41" s="20"/>
      <c r="AL41" s="20"/>
      <c r="AM41" s="20"/>
      <c r="AN41" s="18"/>
      <c r="AO41" s="185"/>
      <c r="AP41" s="191"/>
      <c r="AQ41" s="28"/>
      <c r="AR41" s="20"/>
      <c r="AS41" s="20"/>
      <c r="AT41" s="20"/>
      <c r="AU41" s="20"/>
      <c r="AV41" s="20"/>
      <c r="AW41" s="20"/>
      <c r="AX41" s="18"/>
      <c r="AY41" s="185"/>
      <c r="AZ41" s="191"/>
      <c r="BA41" s="28"/>
      <c r="BB41" s="20"/>
      <c r="BC41" s="20"/>
      <c r="BD41" s="20"/>
      <c r="BE41" s="20"/>
      <c r="BF41" s="20"/>
      <c r="BG41" s="20"/>
      <c r="BH41" s="18"/>
      <c r="BI41" s="185"/>
      <c r="BJ41" s="191"/>
      <c r="BK41" s="28"/>
      <c r="BL41" s="20"/>
      <c r="BM41" s="20"/>
      <c r="BN41" s="20"/>
      <c r="BO41" s="20"/>
      <c r="BP41" s="20"/>
      <c r="BQ41" s="20"/>
      <c r="BR41" s="18"/>
      <c r="BS41" s="185"/>
      <c r="BT41" s="191"/>
      <c r="BU41" s="1"/>
      <c r="BV41" s="1"/>
    </row>
    <row r="42" spans="1:74" ht="15" customHeight="1" thickBot="1" x14ac:dyDescent="0.25">
      <c r="A42" s="203"/>
      <c r="B42" s="138" t="s">
        <v>5</v>
      </c>
      <c r="C42" s="28"/>
      <c r="D42" s="20"/>
      <c r="E42" s="20"/>
      <c r="F42" s="20"/>
      <c r="G42" s="20"/>
      <c r="H42" s="22"/>
      <c r="I42" s="20"/>
      <c r="J42" s="18"/>
      <c r="K42" s="185"/>
      <c r="L42" s="191"/>
      <c r="M42" s="28"/>
      <c r="N42" s="20"/>
      <c r="O42" s="20"/>
      <c r="P42" s="20"/>
      <c r="Q42" s="20"/>
      <c r="R42" s="22"/>
      <c r="S42" s="20"/>
      <c r="T42" s="18"/>
      <c r="U42" s="185"/>
      <c r="V42" s="191"/>
      <c r="W42" s="28"/>
      <c r="X42" s="20"/>
      <c r="Y42" s="20"/>
      <c r="Z42" s="20"/>
      <c r="AA42" s="20"/>
      <c r="AB42" s="22"/>
      <c r="AC42" s="20"/>
      <c r="AD42" s="18"/>
      <c r="AE42" s="185"/>
      <c r="AF42" s="191"/>
      <c r="AG42" s="28"/>
      <c r="AH42" s="20"/>
      <c r="AI42" s="20"/>
      <c r="AJ42" s="20"/>
      <c r="AK42" s="20"/>
      <c r="AL42" s="22"/>
      <c r="AM42" s="20"/>
      <c r="AN42" s="18"/>
      <c r="AO42" s="185"/>
      <c r="AP42" s="191"/>
      <c r="AQ42" s="28"/>
      <c r="AR42" s="20"/>
      <c r="AS42" s="20"/>
      <c r="AT42" s="20"/>
      <c r="AU42" s="20"/>
      <c r="AV42" s="22"/>
      <c r="AW42" s="20"/>
      <c r="AX42" s="18"/>
      <c r="AY42" s="185"/>
      <c r="AZ42" s="191"/>
      <c r="BA42" s="28"/>
      <c r="BB42" s="20"/>
      <c r="BC42" s="20"/>
      <c r="BD42" s="20"/>
      <c r="BE42" s="20"/>
      <c r="BF42" s="22"/>
      <c r="BG42" s="20"/>
      <c r="BH42" s="18"/>
      <c r="BI42" s="185"/>
      <c r="BJ42" s="191"/>
      <c r="BK42" s="28"/>
      <c r="BL42" s="20"/>
      <c r="BM42" s="20"/>
      <c r="BN42" s="20"/>
      <c r="BO42" s="20"/>
      <c r="BP42" s="22"/>
      <c r="BQ42" s="20"/>
      <c r="BR42" s="18"/>
      <c r="BS42" s="185"/>
      <c r="BT42" s="191"/>
      <c r="BU42" s="1"/>
      <c r="BV42" s="1"/>
    </row>
    <row r="43" spans="1:74" ht="15" customHeight="1" thickBot="1" x14ac:dyDescent="0.25">
      <c r="A43" s="203"/>
      <c r="B43" s="138" t="s">
        <v>6</v>
      </c>
      <c r="C43" s="28"/>
      <c r="D43" s="20"/>
      <c r="E43" s="20"/>
      <c r="F43" s="20"/>
      <c r="G43" s="20"/>
      <c r="H43" s="22"/>
      <c r="I43" s="20"/>
      <c r="J43" s="18"/>
      <c r="K43" s="185"/>
      <c r="L43" s="191"/>
      <c r="M43" s="28"/>
      <c r="N43" s="20"/>
      <c r="O43" s="20"/>
      <c r="P43" s="20"/>
      <c r="Q43" s="20"/>
      <c r="R43" s="22"/>
      <c r="S43" s="20"/>
      <c r="T43" s="18"/>
      <c r="U43" s="185"/>
      <c r="V43" s="191"/>
      <c r="W43" s="28"/>
      <c r="X43" s="20"/>
      <c r="Y43" s="20"/>
      <c r="Z43" s="20"/>
      <c r="AA43" s="20"/>
      <c r="AB43" s="22"/>
      <c r="AC43" s="20"/>
      <c r="AD43" s="18"/>
      <c r="AE43" s="185"/>
      <c r="AF43" s="191"/>
      <c r="AG43" s="28"/>
      <c r="AH43" s="20"/>
      <c r="AI43" s="20"/>
      <c r="AJ43" s="20"/>
      <c r="AK43" s="20"/>
      <c r="AL43" s="22"/>
      <c r="AM43" s="20"/>
      <c r="AN43" s="18"/>
      <c r="AO43" s="185"/>
      <c r="AP43" s="191"/>
      <c r="AQ43" s="28"/>
      <c r="AR43" s="20"/>
      <c r="AS43" s="20"/>
      <c r="AT43" s="20"/>
      <c r="AU43" s="20"/>
      <c r="AV43" s="22"/>
      <c r="AW43" s="20"/>
      <c r="AX43" s="18"/>
      <c r="AY43" s="185"/>
      <c r="AZ43" s="191"/>
      <c r="BA43" s="28"/>
      <c r="BB43" s="20"/>
      <c r="BC43" s="20"/>
      <c r="BD43" s="20"/>
      <c r="BE43" s="20"/>
      <c r="BF43" s="22"/>
      <c r="BG43" s="20"/>
      <c r="BH43" s="18"/>
      <c r="BI43" s="185"/>
      <c r="BJ43" s="191"/>
      <c r="BK43" s="28"/>
      <c r="BL43" s="20"/>
      <c r="BM43" s="20"/>
      <c r="BN43" s="20"/>
      <c r="BO43" s="20"/>
      <c r="BP43" s="22"/>
      <c r="BQ43" s="20"/>
      <c r="BR43" s="18"/>
      <c r="BS43" s="185"/>
      <c r="BT43" s="191"/>
      <c r="BU43" s="1"/>
      <c r="BV43" s="1"/>
    </row>
    <row r="44" spans="1:74" ht="15" customHeight="1" thickBot="1" x14ac:dyDescent="0.25">
      <c r="A44" s="203"/>
      <c r="B44" s="138" t="s">
        <v>7</v>
      </c>
      <c r="C44" s="28"/>
      <c r="D44" s="20"/>
      <c r="E44" s="20"/>
      <c r="F44" s="20"/>
      <c r="G44" s="20"/>
      <c r="H44" s="22"/>
      <c r="I44" s="20"/>
      <c r="J44" s="18"/>
      <c r="K44" s="185"/>
      <c r="L44" s="191"/>
      <c r="M44" s="28"/>
      <c r="N44" s="20"/>
      <c r="O44" s="20"/>
      <c r="P44" s="20"/>
      <c r="Q44" s="20"/>
      <c r="R44" s="22"/>
      <c r="S44" s="20"/>
      <c r="T44" s="18"/>
      <c r="U44" s="185"/>
      <c r="V44" s="191"/>
      <c r="W44" s="28"/>
      <c r="X44" s="20"/>
      <c r="Y44" s="20"/>
      <c r="Z44" s="20"/>
      <c r="AA44" s="20"/>
      <c r="AB44" s="22"/>
      <c r="AC44" s="20"/>
      <c r="AD44" s="18"/>
      <c r="AE44" s="185"/>
      <c r="AF44" s="191"/>
      <c r="AG44" s="28"/>
      <c r="AH44" s="20"/>
      <c r="AI44" s="20"/>
      <c r="AJ44" s="20"/>
      <c r="AK44" s="20"/>
      <c r="AL44" s="22"/>
      <c r="AM44" s="20"/>
      <c r="AN44" s="18"/>
      <c r="AO44" s="185"/>
      <c r="AP44" s="191"/>
      <c r="AQ44" s="28"/>
      <c r="AR44" s="20"/>
      <c r="AS44" s="20"/>
      <c r="AT44" s="20"/>
      <c r="AU44" s="20"/>
      <c r="AV44" s="22"/>
      <c r="AW44" s="20"/>
      <c r="AX44" s="18"/>
      <c r="AY44" s="185"/>
      <c r="AZ44" s="191"/>
      <c r="BA44" s="28"/>
      <c r="BB44" s="20"/>
      <c r="BC44" s="20"/>
      <c r="BD44" s="20"/>
      <c r="BE44" s="20"/>
      <c r="BF44" s="22"/>
      <c r="BG44" s="20"/>
      <c r="BH44" s="18"/>
      <c r="BI44" s="185"/>
      <c r="BJ44" s="191"/>
      <c r="BK44" s="28"/>
      <c r="BL44" s="20"/>
      <c r="BM44" s="20"/>
      <c r="BN44" s="20"/>
      <c r="BO44" s="20"/>
      <c r="BP44" s="22"/>
      <c r="BQ44" s="20"/>
      <c r="BR44" s="18"/>
      <c r="BS44" s="185"/>
      <c r="BT44" s="191"/>
      <c r="BU44" s="1"/>
      <c r="BV44" s="1"/>
    </row>
    <row r="45" spans="1:74" ht="15" customHeight="1" thickBot="1" x14ac:dyDescent="0.25">
      <c r="A45" s="203"/>
      <c r="B45" s="138" t="s">
        <v>8</v>
      </c>
      <c r="C45" s="27"/>
      <c r="D45" s="20"/>
      <c r="E45" s="20"/>
      <c r="F45" s="21"/>
      <c r="G45" s="20"/>
      <c r="H45" s="20"/>
      <c r="I45" s="20"/>
      <c r="J45" s="19"/>
      <c r="K45" s="185"/>
      <c r="L45" s="191"/>
      <c r="M45" s="27"/>
      <c r="N45" s="20"/>
      <c r="O45" s="20"/>
      <c r="P45" s="21"/>
      <c r="Q45" s="20"/>
      <c r="R45" s="20"/>
      <c r="S45" s="20"/>
      <c r="T45" s="19"/>
      <c r="U45" s="185"/>
      <c r="V45" s="191"/>
      <c r="W45" s="27"/>
      <c r="X45" s="20"/>
      <c r="Y45" s="20"/>
      <c r="Z45" s="21"/>
      <c r="AA45" s="20"/>
      <c r="AB45" s="20"/>
      <c r="AC45" s="20"/>
      <c r="AD45" s="19"/>
      <c r="AE45" s="185"/>
      <c r="AF45" s="191"/>
      <c r="AG45" s="27"/>
      <c r="AH45" s="20"/>
      <c r="AI45" s="20"/>
      <c r="AJ45" s="21"/>
      <c r="AK45" s="20"/>
      <c r="AL45" s="20"/>
      <c r="AM45" s="20"/>
      <c r="AN45" s="19"/>
      <c r="AO45" s="185"/>
      <c r="AP45" s="191"/>
      <c r="AQ45" s="27"/>
      <c r="AR45" s="20"/>
      <c r="AS45" s="20"/>
      <c r="AT45" s="21"/>
      <c r="AU45" s="20"/>
      <c r="AV45" s="20"/>
      <c r="AW45" s="20"/>
      <c r="AX45" s="19"/>
      <c r="AY45" s="185"/>
      <c r="AZ45" s="191"/>
      <c r="BA45" s="27"/>
      <c r="BB45" s="20"/>
      <c r="BC45" s="20"/>
      <c r="BD45" s="21"/>
      <c r="BE45" s="20"/>
      <c r="BF45" s="20"/>
      <c r="BG45" s="20"/>
      <c r="BH45" s="19"/>
      <c r="BI45" s="185"/>
      <c r="BJ45" s="191"/>
      <c r="BK45" s="27"/>
      <c r="BL45" s="20"/>
      <c r="BM45" s="20"/>
      <c r="BN45" s="21"/>
      <c r="BO45" s="20"/>
      <c r="BP45" s="20"/>
      <c r="BQ45" s="20"/>
      <c r="BR45" s="19"/>
      <c r="BS45" s="185"/>
      <c r="BT45" s="191"/>
      <c r="BU45" s="1"/>
      <c r="BV45" s="1"/>
    </row>
    <row r="46" spans="1:74" ht="15" customHeight="1" thickBot="1" x14ac:dyDescent="0.25">
      <c r="A46" s="203"/>
      <c r="B46" s="138" t="s">
        <v>9</v>
      </c>
      <c r="C46" s="28"/>
      <c r="D46" s="20"/>
      <c r="E46" s="20"/>
      <c r="F46" s="20"/>
      <c r="G46" s="20"/>
      <c r="H46" s="20"/>
      <c r="I46" s="20"/>
      <c r="J46" s="18"/>
      <c r="K46" s="185"/>
      <c r="L46" s="191"/>
      <c r="M46" s="20"/>
      <c r="N46" s="20"/>
      <c r="O46" s="20"/>
      <c r="P46" s="20"/>
      <c r="Q46" s="20"/>
      <c r="R46" s="20"/>
      <c r="S46" s="20"/>
      <c r="T46" s="18"/>
      <c r="U46" s="185"/>
      <c r="V46" s="191"/>
      <c r="W46" s="28"/>
      <c r="X46" s="20"/>
      <c r="Y46" s="20"/>
      <c r="Z46" s="20"/>
      <c r="AA46" s="20"/>
      <c r="AB46" s="20"/>
      <c r="AC46" s="20"/>
      <c r="AD46" s="18"/>
      <c r="AE46" s="185"/>
      <c r="AF46" s="191"/>
      <c r="AG46" s="20"/>
      <c r="AH46" s="20"/>
      <c r="AI46" s="20"/>
      <c r="AJ46" s="20"/>
      <c r="AK46" s="20"/>
      <c r="AL46" s="20"/>
      <c r="AM46" s="20"/>
      <c r="AN46" s="18"/>
      <c r="AO46" s="185"/>
      <c r="AP46" s="191"/>
      <c r="AQ46" s="28"/>
      <c r="AR46" s="20"/>
      <c r="AS46" s="20"/>
      <c r="AT46" s="20"/>
      <c r="AU46" s="20"/>
      <c r="AV46" s="20"/>
      <c r="AW46" s="20"/>
      <c r="AX46" s="18"/>
      <c r="AY46" s="185"/>
      <c r="AZ46" s="191"/>
      <c r="BA46" s="20"/>
      <c r="BB46" s="20"/>
      <c r="BC46" s="20"/>
      <c r="BD46" s="20"/>
      <c r="BE46" s="20"/>
      <c r="BF46" s="20"/>
      <c r="BG46" s="20"/>
      <c r="BH46" s="18"/>
      <c r="BI46" s="185"/>
      <c r="BJ46" s="191"/>
      <c r="BK46" s="20"/>
      <c r="BL46" s="20"/>
      <c r="BM46" s="20"/>
      <c r="BN46" s="20"/>
      <c r="BO46" s="20"/>
      <c r="BP46" s="20"/>
      <c r="BQ46" s="20"/>
      <c r="BR46" s="18"/>
      <c r="BS46" s="185"/>
      <c r="BT46" s="191"/>
      <c r="BU46" s="1"/>
      <c r="BV46" s="1"/>
    </row>
    <row r="47" spans="1:74" ht="14.25" thickBot="1" x14ac:dyDescent="0.25">
      <c r="A47" s="203"/>
      <c r="B47" s="139" t="s">
        <v>10</v>
      </c>
      <c r="C47" s="181">
        <f>IF(Configuração!K10=EscalaLinear!BY5,10,IF(Configuração!K10=BY6,9,IF(Configuração!K10=BY7,8,IF(Configuração!K10=BY8,7,IF(Configuração!K10=BY9,6,IF(Configuração!K10=BY10,5,IF(Configuração!K10=BY11,4,IF(Configuração!K10=BY12,3,IF(Configuração!K10=BY13,2,IF(Configuração!K10=BY14,1,""))))))))))</f>
        <v>1</v>
      </c>
      <c r="D47" s="184" t="str">
        <f>IF(Configuração!K11=EscalaLinear!BY5,10,IF(Configuração!K11=BY6,9,IF(Configuração!K11=BY7,8,IF(Configuração!K11=BY8,7,IF(Configuração!K11=BY9,6,IF(Configuração!K11=BY10,5,IF(Configuração!K11=BY11,4,IF(Configuração!K11=BY12,3,IF(Configuração!K11=BY13,2,IF(Configuração!K11=BY14,1,""))))))))))</f>
        <v/>
      </c>
      <c r="E47" s="20"/>
      <c r="F47" s="20"/>
      <c r="G47" s="20"/>
      <c r="H47" s="20"/>
      <c r="I47" s="20"/>
      <c r="J47" s="18"/>
      <c r="K47" s="185"/>
      <c r="L47" s="191"/>
      <c r="M47" s="181">
        <f>IF(Configuração!L10=EscalaLinear!BY5,10,IF(Configuração!L10=BY6,9,IF(Configuração!L10=BY7,8,IF(Configuração!L10=BY8,7,IF(Configuração!L10=BY9,6,IF(Configuração!L10=BY10,5,IF(Configuração!L10=BY11,4,IF(Configuração!L10=BY12,3,IF(Configuração!L10=BY13,2,IF(Configuração!L10=BY14,1,""))))))))))</f>
        <v>1</v>
      </c>
      <c r="N47" s="184" t="str">
        <f>IF(Configuração!L11=EscalaLinear!BY5,10,IF(Configuração!L11=BY6,9,IF(Configuração!L11=BY7,8,IF(Configuração!L11=BY8,7,IF(Configuração!L11=BY9,6,IF(Configuração!L11=BY10,5,IF(Configuração!L11=BY11,4,IF(Configuração!L11=BY12,3,IF(Configuração!L11=BY13,2,IF(Configuração!L11=BY14,1,""))))))))))</f>
        <v/>
      </c>
      <c r="O47" s="20"/>
      <c r="P47" s="20"/>
      <c r="Q47" s="20"/>
      <c r="R47" s="20"/>
      <c r="S47" s="20"/>
      <c r="T47" s="18"/>
      <c r="U47" s="185"/>
      <c r="V47" s="191"/>
      <c r="W47" s="181">
        <f>IF(Configuração!M10=EscalaLinear!BY5,10,IF(Configuração!M10=BY6,9,IF(Configuração!M10=BY7,8,IF(Configuração!M10=BY8,7,IF(Configuração!M10=BY9,6,IF(Configuração!M10=BY10,5,IF(Configuração!M10=BY11,4,IF(Configuração!M10=BY12,3,IF(Configuração!M10=BY13,2,IF(Configuração!M10=BY14,1,""))))))))))</f>
        <v>1</v>
      </c>
      <c r="X47" s="184" t="str">
        <f>IF(Configuração!M11=EscalaLinear!BY5,10,IF(Configuração!M11=BY6,9,IF(Configuração!M11=BY7,8,IF(Configuração!M11=BY8,7,IF(Configuração!M11=BY9,6,IF(Configuração!M11=BY10,5,IF(Configuração!M11=BY11,4,IF(Configuração!M11=BY12,3,IF(Configuração!M11=BY13,2,IF(Configuração!M11=BY14,1,""))))))))))</f>
        <v/>
      </c>
      <c r="Y47" s="20"/>
      <c r="Z47" s="20"/>
      <c r="AA47" s="20"/>
      <c r="AB47" s="20"/>
      <c r="AC47" s="20"/>
      <c r="AD47" s="18"/>
      <c r="AE47" s="185"/>
      <c r="AF47" s="191"/>
      <c r="AG47" s="181">
        <f>IF(Configuração!N10=EscalaLinear!BY5,10,IF(Configuração!N10=BY6,9,IF(Configuração!N10=BY7,8,IF(Configuração!N10=BY8,7,IF(Configuração!N10=BY9,6,IF(Configuração!N10=BY10,5,IF(Configuração!N10=BY11,4,IF(Configuração!N10=BY12,3,IF(Configuração!N10=BY13,2,IF(Configuração!N10=BY14,1,""))))))))))</f>
        <v>1</v>
      </c>
      <c r="AH47" s="184" t="str">
        <f>IF(Configuração!N11=EscalaLinear!BY5,10,IF(Configuração!N11=BY6,9,IF(Configuração!N11=BY7,8,IF(Configuração!N11=BY8,7,IF(Configuração!N11=BY9,6,IF(Configuração!N11=BY10,5,IF(Configuração!N11=BY11,4,IF(Configuração!N11=BY12,3,IF(Configuração!N11=BY13,2,IF(Configuração!N11=BY14,1,""))))))))))</f>
        <v/>
      </c>
      <c r="AI47" s="20"/>
      <c r="AJ47" s="20"/>
      <c r="AK47" s="20"/>
      <c r="AL47" s="20"/>
      <c r="AM47" s="20"/>
      <c r="AN47" s="18"/>
      <c r="AO47" s="185"/>
      <c r="AP47" s="191"/>
      <c r="AQ47" s="181">
        <f>IF(Configuração!O10=EscalaLinear!BY5,10,IF(Configuração!O10=BY6,9,IF(Configuração!O10=BY7,8,IF(Configuração!O10=BY8,7,IF(Configuração!O10=BY9,6,IF(Configuração!O10=BY10,5,IF(Configuração!O10=BY11,4,IF(Configuração!O10=BY12,3,IF(Configuração!O10=BY13,2,IF(Configuração!O10=BY14,1,""))))))))))</f>
        <v>1</v>
      </c>
      <c r="AR47" s="184" t="str">
        <f>IF(Configuração!O11=EscalaLinear!BY5,10,IF(Configuração!O11=BY6,9,IF(Configuração!O11=BY7,8,IF(Configuração!O11=BY8,7,IF(Configuração!O11=BY9,6,IF(Configuração!O11=BY10,5,IF(Configuração!O11=BY11,4,IF(Configuração!O11=BY12,3,IF(Configuração!O11=BY13,2,IF(Configuração!O11=BY14,1,""))))))))))</f>
        <v/>
      </c>
      <c r="AS47" s="20"/>
      <c r="AT47" s="20"/>
      <c r="AU47" s="20"/>
      <c r="AV47" s="20"/>
      <c r="AW47" s="20"/>
      <c r="AX47" s="18"/>
      <c r="AY47" s="185"/>
      <c r="AZ47" s="191"/>
      <c r="BA47" s="181">
        <f>IF(Configuração!P10=EscalaLinear!BY5,10,IF(Configuração!P10=BY6,9,IF(Configuração!P10=BY7,8,IF(Configuração!P10=BY8,7,IF(Configuração!P10=BY9,6,IF(Configuração!P10=BY10,5,IF(Configuração!P10=BY11,4,IF(Configuração!P10=BY12,3,IF(Configuração!P10=BY13,2,IF(Configuração!P10=BY14,1,""))))))))))</f>
        <v>1</v>
      </c>
      <c r="BB47" s="184" t="str">
        <f>IF(Configuração!P11=EscalaLinear!BY5,10,IF(Configuração!P11=BY6,9,IF(Configuração!P11=BY7,8,IF(Configuração!P11=BY8,7,IF(Configuração!P11=BY9,6,IF(Configuração!P11=BY10,5,IF(Configuração!P11=BY11,4,IF(Configuração!P11=BY12,3,IF(Configuração!P11=BY13,2,IF(Configuração!P11=BY14,1,""))))))))))</f>
        <v/>
      </c>
      <c r="BC47" s="20"/>
      <c r="BD47" s="20"/>
      <c r="BE47" s="20"/>
      <c r="BF47" s="20"/>
      <c r="BG47" s="20"/>
      <c r="BH47" s="18"/>
      <c r="BI47" s="185"/>
      <c r="BJ47" s="191"/>
      <c r="BK47" s="181">
        <f>IF(Configuração!Q10=EscalaLinear!BY5,10,IF(Configuração!Q10=BY6,9,IF(Configuração!Q10=BY7,8,IF(Configuração!Q10=BY8,7,IF(Configuração!Q10=BY9,6,IF(Configuração!Q10=BY10,5,IF(Configuração!Q10=BY11,4,IF(Configuração!Q10=BY12,3,IF(Configuração!Q10=BY13,2,IF(Configuração!Q10=BY14,1,""))))))))))</f>
        <v>1</v>
      </c>
      <c r="BL47" s="184" t="str">
        <f>IF(Configuração!Q11=EscalaLinear!BY5,10,IF(Configuração!Q11=BY6,9,IF(Configuração!Q11=BY7,8,IF(Configuração!Q11=BY8,7,IF(Configuração!Q11=BY9,6,IF(Configuração!Q11=BY10,5,IF(Configuração!Q11=BY11,4,IF(Configuração!Q11=BY12,3,IF(Configuração!Q11=BY13,2,IF(Configuração!Q11=BY14,1,""))))))))))</f>
        <v/>
      </c>
      <c r="BM47" s="20"/>
      <c r="BN47" s="20"/>
      <c r="BO47" s="20"/>
      <c r="BP47" s="20"/>
      <c r="BQ47" s="20"/>
      <c r="BR47" s="18"/>
      <c r="BS47" s="185"/>
      <c r="BT47" s="191"/>
      <c r="BU47" s="1"/>
      <c r="BV47" s="1"/>
    </row>
    <row r="48" spans="1:74" ht="15" customHeight="1" thickBot="1" x14ac:dyDescent="0.25">
      <c r="A48" s="203"/>
      <c r="B48" s="138" t="s">
        <v>76</v>
      </c>
      <c r="C48" s="182"/>
      <c r="D48" s="185"/>
      <c r="E48" s="20"/>
      <c r="F48" s="20"/>
      <c r="G48" s="20"/>
      <c r="H48" s="20"/>
      <c r="I48" s="20"/>
      <c r="J48" s="18"/>
      <c r="K48" s="186"/>
      <c r="L48" s="192"/>
      <c r="M48" s="182"/>
      <c r="N48" s="185"/>
      <c r="O48" s="20"/>
      <c r="P48" s="20"/>
      <c r="Q48" s="20"/>
      <c r="R48" s="20"/>
      <c r="S48" s="20"/>
      <c r="T48" s="18"/>
      <c r="U48" s="186"/>
      <c r="V48" s="192"/>
      <c r="W48" s="182"/>
      <c r="X48" s="185"/>
      <c r="Y48" s="20"/>
      <c r="Z48" s="20"/>
      <c r="AA48" s="20"/>
      <c r="AB48" s="20"/>
      <c r="AC48" s="20"/>
      <c r="AD48" s="18"/>
      <c r="AE48" s="186"/>
      <c r="AF48" s="192"/>
      <c r="AG48" s="182"/>
      <c r="AH48" s="185"/>
      <c r="AI48" s="20"/>
      <c r="AJ48" s="20"/>
      <c r="AK48" s="20"/>
      <c r="AL48" s="20"/>
      <c r="AM48" s="20"/>
      <c r="AN48" s="18"/>
      <c r="AO48" s="186"/>
      <c r="AP48" s="192"/>
      <c r="AQ48" s="182"/>
      <c r="AR48" s="185"/>
      <c r="AS48" s="20"/>
      <c r="AT48" s="20"/>
      <c r="AU48" s="20"/>
      <c r="AV48" s="20"/>
      <c r="AW48" s="20"/>
      <c r="AX48" s="18"/>
      <c r="AY48" s="186"/>
      <c r="AZ48" s="192"/>
      <c r="BA48" s="182"/>
      <c r="BB48" s="185"/>
      <c r="BC48" s="20"/>
      <c r="BD48" s="20"/>
      <c r="BE48" s="20"/>
      <c r="BF48" s="20"/>
      <c r="BG48" s="20"/>
      <c r="BH48" s="18"/>
      <c r="BI48" s="186"/>
      <c r="BJ48" s="192"/>
      <c r="BK48" s="182"/>
      <c r="BL48" s="185"/>
      <c r="BM48" s="20"/>
      <c r="BN48" s="20"/>
      <c r="BO48" s="20"/>
      <c r="BP48" s="20"/>
      <c r="BQ48" s="20"/>
      <c r="BR48" s="18"/>
      <c r="BS48" s="186"/>
      <c r="BT48" s="192"/>
      <c r="BU48" s="1"/>
      <c r="BV48" s="1"/>
    </row>
    <row r="49" spans="1:74" ht="15" customHeight="1" thickBot="1" x14ac:dyDescent="0.25">
      <c r="A49" s="203"/>
      <c r="B49" s="138" t="s">
        <v>11</v>
      </c>
      <c r="C49" s="182"/>
      <c r="D49" s="185"/>
      <c r="E49" s="151"/>
      <c r="G49" s="20"/>
      <c r="H49" s="20"/>
      <c r="I49" s="20"/>
      <c r="J49" s="18"/>
      <c r="K49" s="20"/>
      <c r="L49" s="25"/>
      <c r="M49" s="182"/>
      <c r="N49" s="185"/>
      <c r="O49" s="20"/>
      <c r="Q49" s="20"/>
      <c r="R49" s="20"/>
      <c r="S49" s="20"/>
      <c r="T49" s="18"/>
      <c r="U49" s="20"/>
      <c r="V49" s="25"/>
      <c r="W49" s="182"/>
      <c r="X49" s="185"/>
      <c r="Y49" s="151"/>
      <c r="AA49" s="20"/>
      <c r="AB49" s="20"/>
      <c r="AC49" s="20"/>
      <c r="AD49" s="18"/>
      <c r="AE49" s="20"/>
      <c r="AF49" s="25"/>
      <c r="AG49" s="182"/>
      <c r="AH49" s="185"/>
      <c r="AI49" s="20"/>
      <c r="AK49" s="20"/>
      <c r="AL49" s="20"/>
      <c r="AM49" s="20"/>
      <c r="AN49" s="18"/>
      <c r="AO49" s="20"/>
      <c r="AP49" s="25"/>
      <c r="AQ49" s="182"/>
      <c r="AR49" s="185"/>
      <c r="AS49" s="151"/>
      <c r="AU49" s="20"/>
      <c r="AV49" s="20"/>
      <c r="AW49" s="20"/>
      <c r="AX49" s="18"/>
      <c r="AY49" s="20"/>
      <c r="AZ49" s="25"/>
      <c r="BA49" s="182"/>
      <c r="BB49" s="185"/>
      <c r="BC49" s="20"/>
      <c r="BE49" s="20"/>
      <c r="BF49" s="20"/>
      <c r="BG49" s="20"/>
      <c r="BH49" s="18"/>
      <c r="BI49" s="20"/>
      <c r="BJ49" s="25"/>
      <c r="BK49" s="182"/>
      <c r="BL49" s="185"/>
      <c r="BM49" s="20"/>
      <c r="BO49" s="20"/>
      <c r="BP49" s="20"/>
      <c r="BQ49" s="20"/>
      <c r="BR49" s="18"/>
      <c r="BS49" s="20"/>
      <c r="BT49" s="25"/>
      <c r="BU49" s="1"/>
      <c r="BV49" s="1"/>
    </row>
    <row r="50" spans="1:74" ht="15" customHeight="1" thickBot="1" x14ac:dyDescent="0.25">
      <c r="A50" s="203"/>
      <c r="B50" s="139" t="s">
        <v>12</v>
      </c>
      <c r="C50" s="182"/>
      <c r="D50" s="185"/>
      <c r="E50" s="184" t="str">
        <f>IF(Configuração!K12=EscalaLinear!BY5,10,IF(Configuração!K12=BY6,9,IF(Configuração!K12=BY7,8,IF(Configuração!K12=BY8,7,IF(Configuração!K12=BY9,6,IF(Configuração!K12=BY10,5,IF(Configuração!K12=BY11,4,IF(Configuração!K12=BY12,3,IF(Configuração!K12=BY13,2,IF(Configuração!K12=BY14,1,""))))))))))</f>
        <v/>
      </c>
      <c r="F50" s="184" t="str">
        <f>IF(Configuração!K13=EscalaLinear!BY5,10,IF(Configuração!K13=BY6,9,IF(Configuração!K13=BY7,8,IF(Configuração!K13=BY8,7,IF(Configuração!K13=BY9,6,IF(Configuração!K13=BY10,5,IF(Configuração!K13=BY11,4,IF(Configuração!K13=BY12,3,IF(Configuração!K13=BY13,2,IF(Configuração!K13=BY14,1,""))))))))))</f>
        <v/>
      </c>
      <c r="G50" s="22"/>
      <c r="H50" s="22"/>
      <c r="I50" s="20"/>
      <c r="J50" s="18"/>
      <c r="K50" s="20"/>
      <c r="L50" s="25"/>
      <c r="M50" s="182"/>
      <c r="N50" s="185"/>
      <c r="O50" s="184" t="str">
        <f>IF(Configuração!L12=EscalaLinear!BY5,10,IF(Configuração!L12=BY6,9,IF(Configuração!L12=BY7,8,IF(Configuração!L12=BY8,7,IF(Configuração!L12=BY9,6,IF(Configuração!L12=BY10,5,IF(Configuração!L12=BY11,4,IF(Configuração!L12=BY12,3,IF(Configuração!L12=BY13,2,IF(Configuração!L12=BY14,1,""))))))))))</f>
        <v/>
      </c>
      <c r="P50" s="184" t="str">
        <f>IF(Configuração!L13=EscalaLinear!BY5,10,IF(Configuração!L13=BY6,9,IF(Configuração!L13=BY7,8,IF(Configuração!L13=BY8,7,IF(Configuração!L13=BY9,6,IF(Configuração!L13=BY10,5,IF(Configuração!L13=BY11,4,IF(Configuração!L13=BY12,3,IF(Configuração!L13=BY13,2,IF(Configuração!L13=BY14,1,""))))))))))</f>
        <v/>
      </c>
      <c r="Q50" s="22"/>
      <c r="R50" s="22"/>
      <c r="S50" s="20"/>
      <c r="T50" s="18"/>
      <c r="U50" s="20"/>
      <c r="V50" s="25"/>
      <c r="W50" s="182"/>
      <c r="X50" s="185"/>
      <c r="Y50" s="184" t="str">
        <f>IF(Configuração!M12=EscalaLinear!BY5,10,IF(Configuração!M12=BY6,9,IF(Configuração!M12=BY7,8,IF(Configuração!M12=BY8,7,IF(Configuração!M12=BY9,6,IF(Configuração!M12=BY10,5,IF(Configuração!M12=BY11,4,IF(Configuração!M12=BY12,3,IF(Configuração!M12=BY13,2,IF(Configuração!M12=BY14,1,""))))))))))</f>
        <v/>
      </c>
      <c r="Z50" s="184" t="str">
        <f>IF(Configuração!M13=EscalaLinear!BY5,10,IF(Configuração!M13=BY6,9,IF(Configuração!M13=BY7,8,IF(Configuração!M13=BY8,7,IF(Configuração!M13=BY9,6,IF(Configuração!M13=BY10,5,IF(Configuração!M13=BY11,4,IF(Configuração!M13=BY12,3,IF(Configuração!M13=BY13,2,IF(Configuração!M13=BY14,1,""))))))))))</f>
        <v/>
      </c>
      <c r="AA50" s="22"/>
      <c r="AB50" s="22"/>
      <c r="AC50" s="20"/>
      <c r="AD50" s="18"/>
      <c r="AE50" s="20"/>
      <c r="AF50" s="25"/>
      <c r="AG50" s="182"/>
      <c r="AH50" s="185"/>
      <c r="AI50" s="184" t="str">
        <f>IF(Configuração!N12=EscalaLinear!BY5,10,IF(Configuração!N12=BY6,9,IF(Configuração!N12=BY7,8,IF(Configuração!N12=BY8,7,IF(Configuração!N12=BY9,6,IF(Configuração!N12=BY10,5,IF(Configuração!N12=BY11,4,IF(Configuração!N12=BY12,3,IF(Configuração!N12=BY13,2,IF(Configuração!N12=BY14,1,""))))))))))</f>
        <v/>
      </c>
      <c r="AJ50" s="184" t="str">
        <f>IF(Configuração!N13=EscalaLinear!BY5,10,IF(Configuração!N13=BY6,9,IF(Configuração!N13=BY7,8,IF(Configuração!N13=BY8,7,IF(Configuração!N13=BY9,6,IF(Configuração!N13=BY10,5,IF(Configuração!N13=BY11,4,IF(Configuração!N13=BY12,3,IF(Configuração!N13=BY13,2,IF(Configuração!N13=BY14,1,""))))))))))</f>
        <v/>
      </c>
      <c r="AK50" s="22"/>
      <c r="AL50" s="22"/>
      <c r="AM50" s="20"/>
      <c r="AN50" s="18"/>
      <c r="AO50" s="20"/>
      <c r="AP50" s="25"/>
      <c r="AQ50" s="182"/>
      <c r="AR50" s="185"/>
      <c r="AS50" s="184" t="str">
        <f>IF(Configuração!O12=EscalaLinear!BY5,10,IF(Configuração!O12=BY6,9,IF(Configuração!O12=BY7,8,IF(Configuração!O12=BY8,7,IF(Configuração!O12=BY9,6,IF(Configuração!O12=BY10,5,IF(Configuração!O12=BY11,4,IF(Configuração!O12=BY12,3,IF(Configuração!O12=BY13,2,IF(Configuração!O12=BY14,1,""))))))))))</f>
        <v/>
      </c>
      <c r="AT50" s="184" t="str">
        <f>IF(Configuração!O13=EscalaLinear!BY5,10,IF(Configuração!O13=BY6,9,IF(Configuração!O13=BY7,8,IF(Configuração!O13=BY8,7,IF(Configuração!O13=BY9,6,IF(Configuração!O13=BY10,5,IF(Configuração!O13=BY11,4,IF(Configuração!O13=BY12,3,IF(Configuração!O13=BY13,2,IF(Configuração!O13=BY14,1,""))))))))))</f>
        <v/>
      </c>
      <c r="AU50" s="22"/>
      <c r="AV50" s="22"/>
      <c r="AW50" s="20"/>
      <c r="AX50" s="18"/>
      <c r="AY50" s="20"/>
      <c r="AZ50" s="25"/>
      <c r="BA50" s="182"/>
      <c r="BB50" s="185"/>
      <c r="BC50" s="184" t="str">
        <f>IF(Configuração!P12=EscalaLinear!BY5,10,IF(Configuração!P12=BY6,9,IF(Configuração!P12=BY7,8,IF(Configuração!P12=BY8,7,IF(Configuração!P12=BY9,6,IF(Configuração!P12=BY10,5,IF(Configuração!P12=BY11,4,IF(Configuração!P12=BY12,3,IF(Configuração!P12=BY13,2,IF(Configuração!P12=BY14,1,""))))))))))</f>
        <v/>
      </c>
      <c r="BD50" s="184" t="str">
        <f>IF(Configuração!P13=EscalaLinear!BY5,10,IF(Configuração!P13=BY6,9,IF(Configuração!P13=BY7,8,IF(Configuração!P13=BY8,7,IF(Configuração!P13=BY9,6,IF(Configuração!P13=BY10,5,IF(Configuração!P13=BY11,4,IF(Configuração!P13=BY12,3,IF(Configuração!P13=BY13,2,IF(Configuração!P13=BY14,1,""))))))))))</f>
        <v/>
      </c>
      <c r="BE50" s="22"/>
      <c r="BF50" s="22"/>
      <c r="BG50" s="20"/>
      <c r="BH50" s="18"/>
      <c r="BI50" s="20"/>
      <c r="BJ50" s="25"/>
      <c r="BK50" s="182"/>
      <c r="BL50" s="185"/>
      <c r="BM50" s="184" t="str">
        <f>IF(Configuração!Q12=EscalaLinear!BY5,10,IF(Configuração!Q12=BY6,9,IF(Configuração!Q12=BY7,8,IF(Configuração!Q12=BY8,7,IF(Configuração!Q12=BY9,6,IF(Configuração!Q12=BY10,5,IF(Configuração!Q12=BY11,4,IF(Configuração!Q12=BY12,3,IF(Configuração!Q12=BY13,2,IF(Configuração!Q12=BY14,1,""))))))))))</f>
        <v/>
      </c>
      <c r="BN50" s="184" t="str">
        <f>IF(Configuração!Q13=EscalaLinear!BY5,10,IF(Configuração!Q13=BY6,9,IF(Configuração!Q13=BY7,8,IF(Configuração!Q13=BY8,7,IF(Configuração!Q13=BY9,6,IF(Configuração!Q13=BY10,5,IF(Configuração!Q13=BY11,4,IF(Configuração!Q13=BY12,3,IF(Configuração!Q13=BY13,2,IF(Configuração!Q13=BY14,1,""))))))))))</f>
        <v/>
      </c>
      <c r="BO50" s="22"/>
      <c r="BP50" s="22"/>
      <c r="BQ50" s="20"/>
      <c r="BR50" s="18"/>
      <c r="BS50" s="20"/>
      <c r="BT50" s="25"/>
      <c r="BU50" s="1"/>
      <c r="BV50" s="1"/>
    </row>
    <row r="51" spans="1:74" ht="15" customHeight="1" thickBot="1" x14ac:dyDescent="0.25">
      <c r="A51" s="203"/>
      <c r="B51" s="138" t="s">
        <v>13</v>
      </c>
      <c r="C51" s="182"/>
      <c r="D51" s="185"/>
      <c r="E51" s="185"/>
      <c r="F51" s="185"/>
      <c r="G51" s="151"/>
      <c r="I51" s="20"/>
      <c r="J51" s="18"/>
      <c r="K51" s="20"/>
      <c r="L51" s="25"/>
      <c r="M51" s="182"/>
      <c r="N51" s="185"/>
      <c r="O51" s="185"/>
      <c r="P51" s="185"/>
      <c r="Q51" s="151"/>
      <c r="S51" s="20"/>
      <c r="T51" s="18"/>
      <c r="U51" s="20"/>
      <c r="V51" s="25"/>
      <c r="W51" s="182"/>
      <c r="X51" s="185"/>
      <c r="Y51" s="185"/>
      <c r="Z51" s="185"/>
      <c r="AA51" s="151"/>
      <c r="AC51" s="20"/>
      <c r="AD51" s="18"/>
      <c r="AE51" s="20"/>
      <c r="AF51" s="25"/>
      <c r="AG51" s="182"/>
      <c r="AH51" s="185"/>
      <c r="AI51" s="185"/>
      <c r="AJ51" s="185"/>
      <c r="AK51" s="151"/>
      <c r="AM51" s="20"/>
      <c r="AN51" s="18"/>
      <c r="AO51" s="20"/>
      <c r="AP51" s="25"/>
      <c r="AQ51" s="182"/>
      <c r="AR51" s="185"/>
      <c r="AS51" s="185"/>
      <c r="AT51" s="185"/>
      <c r="AU51" s="151"/>
      <c r="AW51" s="20"/>
      <c r="AX51" s="18"/>
      <c r="AY51" s="20"/>
      <c r="AZ51" s="25"/>
      <c r="BA51" s="182"/>
      <c r="BB51" s="185"/>
      <c r="BC51" s="185"/>
      <c r="BD51" s="185"/>
      <c r="BE51" s="151"/>
      <c r="BG51" s="20"/>
      <c r="BH51" s="18"/>
      <c r="BI51" s="20"/>
      <c r="BJ51" s="25"/>
      <c r="BK51" s="182"/>
      <c r="BL51" s="185"/>
      <c r="BM51" s="185"/>
      <c r="BN51" s="185"/>
      <c r="BO51" s="151"/>
      <c r="BQ51" s="20"/>
      <c r="BR51" s="18"/>
      <c r="BS51" s="20"/>
      <c r="BT51" s="25"/>
      <c r="BU51" s="1"/>
      <c r="BV51" s="1"/>
    </row>
    <row r="52" spans="1:74" ht="15" customHeight="1" thickBot="1" x14ac:dyDescent="0.25">
      <c r="A52" s="203"/>
      <c r="B52" s="139" t="s">
        <v>14</v>
      </c>
      <c r="C52" s="182"/>
      <c r="D52" s="185"/>
      <c r="E52" s="185"/>
      <c r="F52" s="185"/>
      <c r="G52" s="184">
        <f>IF(Configuração!K14=EscalaLinear!BY5,10,IF(Configuração!K14=BY6,9,IF(Configuração!K14=BY7,8,IF(Configuração!K14=BY8,7,IF(Configuração!K14=BY9,6,IF(Configuração!K14=BY10,5,IF(Configuração!K14=BY11,4,IF(Configuração!K14=BY12,3,IF(Configuração!K14=BY13,2,IF(Configuração!K14=BY14,1,""))))))))))</f>
        <v>9</v>
      </c>
      <c r="H52" s="184" t="str">
        <f>IF(Configuração!K15=EscalaLinear!BY5,10,IF(Configuração!K15=BY6,9,IF(Configuração!K15=BY7,8,IF(Configuração!K15=BY8,7,IF(Configuração!K15=BY9,6,IF(Configuração!K15=BY10,5,IF(Configuração!K15=BY11,4,IF(Configuração!K15=BY12,3,IF(Configuração!K15=BY13,2,IF(Configuração!K15=BY14,1,""))))))))))</f>
        <v/>
      </c>
      <c r="I52" s="20"/>
      <c r="J52" s="18"/>
      <c r="K52" s="20"/>
      <c r="L52" s="25"/>
      <c r="M52" s="182"/>
      <c r="N52" s="185"/>
      <c r="O52" s="185"/>
      <c r="P52" s="185"/>
      <c r="Q52" s="184">
        <f>IF(Configuração!L14=EscalaLinear!BY5,10,IF(Configuração!L14=BY6,9,IF(Configuração!L14=BY7,8,IF(Configuração!L14=BY8,7,IF(Configuração!L14=BY9,6,IF(Configuração!L14=BY10,5,IF(Configuração!L14=BY11,4,IF(Configuração!L14=BY12,3,IF(Configuração!L14=BY13,2,IF(Configuração!L14=BY14,1,""))))))))))</f>
        <v>9</v>
      </c>
      <c r="R52" s="184" t="str">
        <f>IF(Configuração!L15=EscalaLinear!BY5,10,IF(Configuração!L15=BY6,9,IF(Configuração!L15=BY7,8,IF(Configuração!L15=BY8,7,IF(Configuração!L15=BY9,6,IF(Configuração!L15=BY10,5,IF(Configuração!L15=BY11,4,IF(Configuração!L15=BY12,3,IF(Configuração!L15=BY13,2,IF(Configuração!L15=BY14,1,""))))))))))</f>
        <v/>
      </c>
      <c r="S52" s="20"/>
      <c r="T52" s="18"/>
      <c r="U52" s="20"/>
      <c r="V52" s="25"/>
      <c r="W52" s="182"/>
      <c r="X52" s="185"/>
      <c r="Y52" s="185"/>
      <c r="Z52" s="185"/>
      <c r="AA52" s="184">
        <f>IF(Configuração!M14=EscalaLinear!BY5,10,IF(Configuração!M14=BY6,9,IF(Configuração!M14=BY7,8,IF(Configuração!M14=BY8,7,IF(Configuração!M14=BY9,6,IF(Configuração!M14=BY10,5,IF(Configuração!M14=BY11,4,IF(Configuração!M14=BY12,3,IF(Configuração!M14=BY13,2,IF(Configuração!M14=BY14,1,""))))))))))</f>
        <v>9</v>
      </c>
      <c r="AB52" s="184" t="str">
        <f>IF(Configuração!M15=EscalaLinear!BY5,10,IF(Configuração!M15=BY6,9,IF(Configuração!M15=BY7,8,IF(Configuração!M15=BY8,7,IF(Configuração!M15=BY9,6,IF(Configuração!M15=BY10,5,IF(Configuração!M15=BY11,4,IF(Configuração!M15=BY12,3,IF(Configuração!M15=BY13,2,IF(Configuração!M15=BY14,1,""))))))))))</f>
        <v/>
      </c>
      <c r="AC52" s="20"/>
      <c r="AD52" s="18"/>
      <c r="AE52" s="20"/>
      <c r="AF52" s="25"/>
      <c r="AG52" s="182"/>
      <c r="AH52" s="185"/>
      <c r="AI52" s="185"/>
      <c r="AJ52" s="185"/>
      <c r="AK52" s="184">
        <f>IF(Configuração!N14=EscalaLinear!BY5,10,IF(Configuração!N14=BY6,9,IF(Configuração!N14=BY7,8,IF(Configuração!N14=BY8,7,IF(Configuração!N14=BY9,6,IF(Configuração!N14=BY10,5,IF(Configuração!N14=BY11,4,IF(Configuração!N14=BY12,3,IF(Configuração!N14=BY13,2,IF(Configuração!N14=BY14,1,""))))))))))</f>
        <v>9</v>
      </c>
      <c r="AL52" s="184" t="str">
        <f>IF(Configuração!N15=EscalaLinear!BY5,10,IF(Configuração!N15=BY6,9,IF(Configuração!N15=BY7,8,IF(Configuração!N15=BY8,7,IF(Configuração!N15=BY9,6,IF(Configuração!N15=BY10,5,IF(Configuração!N15=BY11,4,IF(Configuração!N15=BY12,3,IF(Configuração!N15=BY13,2,IF(Configuração!N15=BY14,1,""))))))))))</f>
        <v/>
      </c>
      <c r="AM52" s="20"/>
      <c r="AN52" s="18"/>
      <c r="AO52" s="20"/>
      <c r="AP52" s="25"/>
      <c r="AQ52" s="182"/>
      <c r="AR52" s="185"/>
      <c r="AS52" s="185"/>
      <c r="AT52" s="185"/>
      <c r="AU52" s="184">
        <f>IF(Configuração!O14=EscalaLinear!BY5,10,IF(Configuração!O14=BY6,9,IF(Configuração!O14=BY7,8,IF(Configuração!O14=BY8,7,IF(Configuração!O14=BY9,6,IF(Configuração!O14=BY10,5,IF(Configuração!O14=BY11,4,IF(Configuração!O14=BY12,3,IF(Configuração!O14=BY13,2,IF(Configuração!O14=BY14,1,""))))))))))</f>
        <v>9</v>
      </c>
      <c r="AV52" s="184" t="str">
        <f>IF(Configuração!O15=EscalaLinear!BY5,10,IF(Configuração!O15=BY6,9,IF(Configuração!O15=BY7,8,IF(Configuração!O15=BY8,7,IF(Configuração!O15=BY9,6,IF(Configuração!O15=BY10,5,IF(Configuração!O15=BY11,4,IF(Configuração!O15=BY12,3,IF(Configuração!O15=BY13,2,IF(Configuração!O15=BY14,1,""))))))))))</f>
        <v/>
      </c>
      <c r="AW52" s="20"/>
      <c r="AX52" s="18"/>
      <c r="AY52" s="20"/>
      <c r="AZ52" s="25"/>
      <c r="BA52" s="182"/>
      <c r="BB52" s="185"/>
      <c r="BC52" s="185"/>
      <c r="BD52" s="185"/>
      <c r="BE52" s="184">
        <f>IF(Configuração!P14=EscalaLinear!BY5,10,IF(Configuração!P14=BY6,9,IF(Configuração!P14=BY7,8,IF(Configuração!P14=BY8,7,IF(Configuração!P14=BY9,6,IF(Configuração!P14=BY10,5,IF(Configuração!P14=BY11,4,IF(Configuração!P14=BY12,3,IF(Configuração!P14=BY13,2,IF(Configuração!P14=BY14,1,""))))))))))</f>
        <v>9</v>
      </c>
      <c r="BF52" s="184" t="str">
        <f>IF(Configuração!P15=EscalaLinear!BY5,10,IF(Configuração!P15=BY6,9,IF(Configuração!P15=BY7,8,IF(Configuração!P15=BY8,7,IF(Configuração!P15=BY9,6,IF(Configuração!P15=BY10,5,IF(Configuração!P15=BY11,4,IF(Configuração!P15=BY12,3,IF(Configuração!P15=BY13,2,IF(Configuração!P15=BY14,1,""))))))))))</f>
        <v/>
      </c>
      <c r="BG52" s="20"/>
      <c r="BH52" s="18"/>
      <c r="BI52" s="20"/>
      <c r="BJ52" s="25"/>
      <c r="BK52" s="182"/>
      <c r="BL52" s="185"/>
      <c r="BM52" s="185"/>
      <c r="BN52" s="185"/>
      <c r="BO52" s="184">
        <f>IF(Configuração!Q14=EscalaLinear!BY5,10,IF(Configuração!Q14=BY6,9,IF(Configuração!Q14=BY7,8,IF(Configuração!Q14=BY8,7,IF(Configuração!Q14=BY9,6,IF(Configuração!Q14=BY10,5,IF(Configuração!Q14=BY11,4,IF(Configuração!Q14=BY12,3,IF(Configuração!Q14=BY13,2,IF(Configuração!Q14=BY14,1,""))))))))))</f>
        <v>9</v>
      </c>
      <c r="BP52" s="184" t="str">
        <f>IF(Configuração!Q15=EscalaLinear!BY5,10,IF(Configuração!Q15=BY6,9,IF(Configuração!Q15=BY7,8,IF(Configuração!Q15=BY8,7,IF(Configuração!Q15=BY9,6,IF(Configuração!Q15=BY10,5,IF(Configuração!Q15=BY11,4,IF(Configuração!Q15=BY12,3,IF(Configuração!Q15=BY13,2,IF(Configuração!Q15=BY14,1,""))))))))))</f>
        <v/>
      </c>
      <c r="BQ52" s="20"/>
      <c r="BR52" s="18"/>
      <c r="BS52" s="20"/>
      <c r="BT52" s="25"/>
      <c r="BU52" s="1"/>
      <c r="BV52" s="1"/>
    </row>
    <row r="53" spans="1:74" ht="15" customHeight="1" thickBot="1" x14ac:dyDescent="0.25">
      <c r="A53" s="203"/>
      <c r="B53" s="138" t="s">
        <v>15</v>
      </c>
      <c r="C53" s="182"/>
      <c r="D53" s="185"/>
      <c r="E53" s="185"/>
      <c r="F53" s="185"/>
      <c r="G53" s="185"/>
      <c r="H53" s="185"/>
      <c r="I53" s="18"/>
      <c r="J53" s="20"/>
      <c r="K53" s="20"/>
      <c r="L53" s="25"/>
      <c r="M53" s="182"/>
      <c r="N53" s="185"/>
      <c r="O53" s="185"/>
      <c r="P53" s="185"/>
      <c r="Q53" s="185"/>
      <c r="R53" s="185"/>
      <c r="S53" s="18"/>
      <c r="T53" s="18"/>
      <c r="U53" s="20"/>
      <c r="V53" s="25"/>
      <c r="W53" s="182"/>
      <c r="X53" s="185"/>
      <c r="Y53" s="185"/>
      <c r="Z53" s="185"/>
      <c r="AA53" s="185"/>
      <c r="AB53" s="185"/>
      <c r="AC53" s="18"/>
      <c r="AD53" s="20"/>
      <c r="AE53" s="20"/>
      <c r="AF53" s="25"/>
      <c r="AG53" s="182"/>
      <c r="AH53" s="185"/>
      <c r="AI53" s="185"/>
      <c r="AJ53" s="185"/>
      <c r="AK53" s="185"/>
      <c r="AL53" s="185"/>
      <c r="AM53" s="18"/>
      <c r="AN53" s="18"/>
      <c r="AO53" s="20"/>
      <c r="AP53" s="25"/>
      <c r="AQ53" s="182"/>
      <c r="AR53" s="185"/>
      <c r="AS53" s="185"/>
      <c r="AT53" s="185"/>
      <c r="AU53" s="185"/>
      <c r="AV53" s="185"/>
      <c r="AW53" s="18"/>
      <c r="AX53" s="20"/>
      <c r="AY53" s="20"/>
      <c r="AZ53" s="25"/>
      <c r="BA53" s="182"/>
      <c r="BB53" s="185"/>
      <c r="BC53" s="185"/>
      <c r="BD53" s="185"/>
      <c r="BE53" s="185"/>
      <c r="BF53" s="185"/>
      <c r="BG53" s="18"/>
      <c r="BH53" s="18"/>
      <c r="BI53" s="20"/>
      <c r="BJ53" s="25"/>
      <c r="BK53" s="182"/>
      <c r="BL53" s="185"/>
      <c r="BM53" s="185"/>
      <c r="BN53" s="185"/>
      <c r="BO53" s="185"/>
      <c r="BP53" s="185"/>
      <c r="BQ53" s="18"/>
      <c r="BR53" s="18"/>
      <c r="BS53" s="20"/>
      <c r="BT53" s="25"/>
      <c r="BU53" s="1"/>
      <c r="BV53" s="1"/>
    </row>
    <row r="54" spans="1:74" ht="15" customHeight="1" thickBot="1" x14ac:dyDescent="0.25">
      <c r="A54" s="203"/>
      <c r="B54" s="138" t="s">
        <v>16</v>
      </c>
      <c r="C54" s="182"/>
      <c r="D54" s="185"/>
      <c r="E54" s="185"/>
      <c r="F54" s="185"/>
      <c r="G54" s="185"/>
      <c r="H54" s="185"/>
      <c r="I54" s="151"/>
      <c r="J54" s="151"/>
      <c r="K54" s="20"/>
      <c r="L54" s="25"/>
      <c r="M54" s="182"/>
      <c r="N54" s="185"/>
      <c r="O54" s="185"/>
      <c r="P54" s="185"/>
      <c r="Q54" s="185"/>
      <c r="R54" s="185"/>
      <c r="S54" s="151"/>
      <c r="T54" s="151"/>
      <c r="U54" s="20"/>
      <c r="V54" s="25"/>
      <c r="W54" s="182"/>
      <c r="X54" s="185"/>
      <c r="Y54" s="185"/>
      <c r="Z54" s="185"/>
      <c r="AA54" s="185"/>
      <c r="AB54" s="185"/>
      <c r="AC54" s="151"/>
      <c r="AD54" s="151"/>
      <c r="AE54" s="20"/>
      <c r="AF54" s="25"/>
      <c r="AG54" s="182"/>
      <c r="AH54" s="185"/>
      <c r="AI54" s="185"/>
      <c r="AJ54" s="185"/>
      <c r="AK54" s="185"/>
      <c r="AL54" s="185"/>
      <c r="AM54" s="151"/>
      <c r="AN54" s="151"/>
      <c r="AO54" s="20"/>
      <c r="AP54" s="25"/>
      <c r="AQ54" s="182"/>
      <c r="AR54" s="185"/>
      <c r="AS54" s="185"/>
      <c r="AT54" s="185"/>
      <c r="AU54" s="185"/>
      <c r="AV54" s="185"/>
      <c r="AW54" s="151"/>
      <c r="AX54" s="151"/>
      <c r="AY54" s="20"/>
      <c r="AZ54" s="25"/>
      <c r="BA54" s="182"/>
      <c r="BB54" s="185"/>
      <c r="BC54" s="185"/>
      <c r="BD54" s="185"/>
      <c r="BE54" s="185"/>
      <c r="BF54" s="185"/>
      <c r="BG54" s="151"/>
      <c r="BH54" s="151"/>
      <c r="BI54" s="20"/>
      <c r="BJ54" s="25"/>
      <c r="BK54" s="182"/>
      <c r="BL54" s="185"/>
      <c r="BM54" s="185"/>
      <c r="BN54" s="185"/>
      <c r="BO54" s="185"/>
      <c r="BP54" s="185"/>
      <c r="BQ54" s="151"/>
      <c r="BR54" s="151"/>
      <c r="BS54" s="20"/>
      <c r="BT54" s="25"/>
      <c r="BU54" s="1"/>
      <c r="BV54" s="1"/>
    </row>
    <row r="55" spans="1:74" ht="15" customHeight="1" thickBot="1" x14ac:dyDescent="0.25">
      <c r="A55" s="203"/>
      <c r="B55" s="140" t="s">
        <v>17</v>
      </c>
      <c r="C55" s="182"/>
      <c r="D55" s="185"/>
      <c r="E55" s="185"/>
      <c r="F55" s="185"/>
      <c r="G55" s="185"/>
      <c r="H55" s="185"/>
      <c r="I55" s="187" t="str">
        <f>IF(Configuração!K16=EscalaLinear!BY5,10,IF(Configuração!K16=BY6,9,IF(Configuração!K16=BY7,8,IF(Configuração!K16=BY8,7,IF(Configuração!K16=BY9,6,IF(Configuração!K16=BY10,5,IF(Configuração!K16=BY11,4,IF(Configuração!K16=BY12,3,IF(Configuração!K16=BY13,2,IF(Configuração!K16=BY14,1,""))))))))))</f>
        <v/>
      </c>
      <c r="J55" s="187" t="str">
        <f>IF(Configuração!K17=EscalaLinear!BY5,10,IF(Configuração!K17=BY6,9,IF(Configuração!K17=BY7,8,IF(Configuração!K17=BY8,7,IF(Configuração!K17=BY9,6,IF(Configuração!K17=BY10,5,IF(Configuração!K17=BY11,4,IF(Configuração!K17=BY12,3,IF(Configuração!K17=BY13,2,IF(Configuração!K17=BY14,1,""))))))))))</f>
        <v/>
      </c>
      <c r="K55" s="20"/>
      <c r="L55" s="25"/>
      <c r="M55" s="182"/>
      <c r="N55" s="185"/>
      <c r="O55" s="185"/>
      <c r="P55" s="185"/>
      <c r="Q55" s="185"/>
      <c r="R55" s="185"/>
      <c r="S55" s="187" t="str">
        <f>IF(Configuração!L16=EscalaLinear!BY5,10,IF(Configuração!L16=BY6,9,IF(Configuração!L16=BY7,8,IF(Configuração!L16=BY8,7,IF(Configuração!L16=BY9,6,IF(Configuração!L16=BY10,5,IF(Configuração!L16=BY11,4,IF(Configuração!L16=BY12,3,IF(Configuração!L16=BY13,2,IF(Configuração!L16=BY14,1,""))))))))))</f>
        <v/>
      </c>
      <c r="T55" s="187" t="str">
        <f>IF(Configuração!L17=EscalaLinear!BY5,10,IF(Configuração!L17=BY6,9,IF(Configuração!L17=BY7,8,IF(Configuração!L17=BY8,7,IF(Configuração!L17=BY9,6,IF(Configuração!L17=BY10,5,IF(Configuração!L17=BY11,4,IF(Configuração!L17=BY12,3,IF(Configuração!L17=BY13,2,IF(Configuração!L17=BY14,1,""))))))))))</f>
        <v/>
      </c>
      <c r="U55" s="20"/>
      <c r="V55" s="25"/>
      <c r="W55" s="182"/>
      <c r="X55" s="185"/>
      <c r="Y55" s="185"/>
      <c r="Z55" s="185"/>
      <c r="AA55" s="185"/>
      <c r="AB55" s="185"/>
      <c r="AC55" s="187" t="str">
        <f>IF(Configuração!M16=EscalaLinear!BY5,10,IF(Configuração!M16=BY6,9,IF(Configuração!M16=BY7,8,IF(Configuração!M16=BY8,7,IF(Configuração!M16=BY9,6,IF(Configuração!M16=BY10,5,IF(Configuração!M16=BY11,4,IF(Configuração!M16=BY12,3,IF(Configuração!M16=BY13,2,IF(Configuração!M16=BY14,1,""))))))))))</f>
        <v/>
      </c>
      <c r="AD55" s="187" t="str">
        <f>IF(Configuração!M17=EscalaLinear!BY5,10,IF(Configuração!M17=BY6,9,IF(Configuração!M17=BY7,8,IF(Configuração!M17=BY8,7,IF(Configuração!M17=BY9,6,IF(Configuração!M17=BY10,5,IF(Configuração!M17=BY11,4,IF(Configuração!M17=BY12,3,IF(Configuração!M17=BY13,2,IF(Configuração!M17=BY14,1,""))))))))))</f>
        <v/>
      </c>
      <c r="AE55" s="20"/>
      <c r="AF55" s="25"/>
      <c r="AG55" s="182"/>
      <c r="AH55" s="185"/>
      <c r="AI55" s="185"/>
      <c r="AJ55" s="185"/>
      <c r="AK55" s="185"/>
      <c r="AL55" s="185"/>
      <c r="AM55" s="187" t="str">
        <f>IF(Configuração!N16=EscalaLinear!BY5,10,IF(Configuração!N16=BY6,9,IF(Configuração!N16=BY7,8,IF(Configuração!N16=BY8,7,IF(Configuração!N16=BY9,6,IF(Configuração!N16=BY10,5,IF(Configuração!N16=BY11,4,IF(Configuração!N16=BY12,3,IF(Configuração!N16=BY13,2,IF(Configuração!N16=BY14,1,""))))))))))</f>
        <v/>
      </c>
      <c r="AN55" s="187" t="str">
        <f>IF(Configuração!N17=EscalaLinear!BY5,10,IF(Configuração!N17=BY6,9,IF(Configuração!N17=BY7,8,IF(Configuração!N17=BY8,7,IF(Configuração!N17=BY9,6,IF(Configuração!N17=BY10,5,IF(Configuração!N17=BY11,4,IF(Configuração!N17=BY12,3,IF(Configuração!N17=BY13,2,IF(Configuração!N17=BY14,1,""))))))))))</f>
        <v/>
      </c>
      <c r="AO55" s="20"/>
      <c r="AP55" s="25"/>
      <c r="AQ55" s="182"/>
      <c r="AR55" s="185"/>
      <c r="AS55" s="185"/>
      <c r="AT55" s="185"/>
      <c r="AU55" s="185"/>
      <c r="AV55" s="185"/>
      <c r="AW55" s="187" t="str">
        <f>IF(Configuração!O16=EscalaLinear!BY5,10,IF(Configuração!O16=BY6,9,IF(Configuração!O16=BY7,8,IF(Configuração!O16=BY8,7,IF(Configuração!O16=BY9,6,IF(Configuração!O16=BY10,5,IF(Configuração!O16=BY11,4,IF(Configuração!O16=BY12,3,IF(Configuração!O16=BY13,2,IF(Configuração!O16=BY14,1,""))))))))))</f>
        <v/>
      </c>
      <c r="AX55" s="187" t="str">
        <f>IF(Configuração!O17=EscalaLinear!BY5,10,IF(Configuração!O17=BY6,9,IF(Configuração!O17=BY7,8,IF(Configuração!O17=BY8,7,IF(Configuração!O17=BY9,6,IF(Configuração!O17=BY10,5,IF(Configuração!O17=BY11,4,IF(Configuração!O17=BY12,3,IF(Configuração!O17=BY13,2,IF(Configuração!O17=BY14,1,""))))))))))</f>
        <v/>
      </c>
      <c r="AY55" s="20"/>
      <c r="AZ55" s="25"/>
      <c r="BA55" s="182"/>
      <c r="BB55" s="185"/>
      <c r="BC55" s="185"/>
      <c r="BD55" s="185"/>
      <c r="BE55" s="185"/>
      <c r="BF55" s="185"/>
      <c r="BG55" s="187" t="str">
        <f>IF(Configuração!P16=EscalaLinear!BY5,10,IF(Configuração!P16=BY6,9,IF(Configuração!P16=BY7,8,IF(Configuração!P16=BY8,7,IF(Configuração!P16=BY9,6,IF(Configuração!P16=BY10,5,IF(Configuração!P16=BY11,4,IF(Configuração!P16=BY12,3,IF(Configuração!P16=BY13,2,IF(Configuração!P16=BY14,1,""))))))))))</f>
        <v/>
      </c>
      <c r="BH55" s="187" t="str">
        <f>IF(Configuração!P17=EscalaLinear!BY5,10,IF(Configuração!P17=BY6,9,IF(Configuração!P17=BY7,8,IF(Configuração!P17=BY8,7,IF(Configuração!P17=BY9,6,IF(Configuração!P17=BY10,5,IF(Configuração!P17=BY11,4,IF(Configuração!P17=BY12,3,IF(Configuração!P17=BY13,2,IF(Configuração!P17=BY14,1,""))))))))))</f>
        <v/>
      </c>
      <c r="BI55" s="20"/>
      <c r="BJ55" s="25"/>
      <c r="BK55" s="182"/>
      <c r="BL55" s="185"/>
      <c r="BM55" s="185"/>
      <c r="BN55" s="185"/>
      <c r="BO55" s="185"/>
      <c r="BP55" s="185"/>
      <c r="BQ55" s="187" t="str">
        <f>IF(Configuração!Q16=EscalaLinear!BY5,10,IF(Configuração!Q16=BY6,9,IF(Configuração!Q16=BY7,8,IF(Configuração!Q16=BY8,7,IF(Configuração!Q16=BY9,6,IF(Configuração!Q16=BY10,5,IF(Configuração!Q16=BY11,4,IF(Configuração!Q16=BY12,3,IF(Configuração!Q16=BY13,2,IF(Configuração!Q16=BY14,1,""))))))))))</f>
        <v/>
      </c>
      <c r="BR55" s="187" t="str">
        <f>IF(Configuração!Q17=EscalaLinear!BY5,10,IF(Configuração!Q17=BY6,9,IF(Configuração!Q17=BY7,8,IF(Configuração!Q17=BY8,7,IF(Configuração!Q17=BY9,6,IF(Configuração!Q17=BY10,5,IF(Configuração!Q17=BY11,4,IF(Configuração!Q17=BY12,3,IF(Configuração!Q17=BY13,2,IF(Configuração!Q17=BY14,1,""))))))))))</f>
        <v/>
      </c>
      <c r="BS55" s="20"/>
      <c r="BT55" s="25"/>
      <c r="BU55" s="1"/>
      <c r="BV55" s="1"/>
    </row>
    <row r="56" spans="1:74" ht="15" customHeight="1" thickBot="1" x14ac:dyDescent="0.25">
      <c r="A56" s="203"/>
      <c r="B56" s="138" t="s">
        <v>18</v>
      </c>
      <c r="C56" s="182"/>
      <c r="D56" s="185"/>
      <c r="E56" s="185"/>
      <c r="F56" s="185"/>
      <c r="G56" s="185"/>
      <c r="H56" s="185"/>
      <c r="I56" s="188"/>
      <c r="J56" s="188"/>
      <c r="K56" s="20"/>
      <c r="L56" s="25"/>
      <c r="M56" s="182"/>
      <c r="N56" s="185"/>
      <c r="O56" s="185"/>
      <c r="P56" s="185"/>
      <c r="Q56" s="185"/>
      <c r="R56" s="185"/>
      <c r="S56" s="188"/>
      <c r="T56" s="188"/>
      <c r="U56" s="20"/>
      <c r="V56" s="25"/>
      <c r="W56" s="182"/>
      <c r="X56" s="185"/>
      <c r="Y56" s="185"/>
      <c r="Z56" s="185"/>
      <c r="AA56" s="185"/>
      <c r="AB56" s="185"/>
      <c r="AC56" s="188"/>
      <c r="AD56" s="188"/>
      <c r="AE56" s="20"/>
      <c r="AF56" s="25"/>
      <c r="AG56" s="182"/>
      <c r="AH56" s="185"/>
      <c r="AI56" s="185"/>
      <c r="AJ56" s="185"/>
      <c r="AK56" s="185"/>
      <c r="AL56" s="185"/>
      <c r="AM56" s="188"/>
      <c r="AN56" s="188"/>
      <c r="AO56" s="20"/>
      <c r="AP56" s="25"/>
      <c r="AQ56" s="182"/>
      <c r="AR56" s="185"/>
      <c r="AS56" s="185"/>
      <c r="AT56" s="185"/>
      <c r="AU56" s="185"/>
      <c r="AV56" s="185"/>
      <c r="AW56" s="188"/>
      <c r="AX56" s="188"/>
      <c r="AY56" s="20"/>
      <c r="AZ56" s="25"/>
      <c r="BA56" s="182"/>
      <c r="BB56" s="185"/>
      <c r="BC56" s="185"/>
      <c r="BD56" s="185"/>
      <c r="BE56" s="185"/>
      <c r="BF56" s="185"/>
      <c r="BG56" s="188"/>
      <c r="BH56" s="188"/>
      <c r="BI56" s="20"/>
      <c r="BJ56" s="25"/>
      <c r="BK56" s="182"/>
      <c r="BL56" s="185"/>
      <c r="BM56" s="185"/>
      <c r="BN56" s="185"/>
      <c r="BO56" s="185"/>
      <c r="BP56" s="185"/>
      <c r="BQ56" s="188"/>
      <c r="BR56" s="188"/>
      <c r="BS56" s="20"/>
      <c r="BT56" s="25"/>
      <c r="BU56" s="1"/>
      <c r="BV56" s="1"/>
    </row>
    <row r="57" spans="1:74" ht="15" customHeight="1" thickBot="1" x14ac:dyDescent="0.25">
      <c r="A57" s="203"/>
      <c r="B57" s="138" t="s">
        <v>19</v>
      </c>
      <c r="C57" s="183"/>
      <c r="D57" s="186"/>
      <c r="E57" s="185"/>
      <c r="F57" s="185"/>
      <c r="G57" s="185"/>
      <c r="H57" s="185"/>
      <c r="I57" s="188"/>
      <c r="J57" s="188"/>
      <c r="K57" s="20"/>
      <c r="L57" s="25"/>
      <c r="M57" s="183"/>
      <c r="N57" s="186"/>
      <c r="O57" s="185"/>
      <c r="P57" s="185"/>
      <c r="Q57" s="185"/>
      <c r="R57" s="185"/>
      <c r="S57" s="188"/>
      <c r="T57" s="188"/>
      <c r="U57" s="20"/>
      <c r="V57" s="25"/>
      <c r="W57" s="183"/>
      <c r="X57" s="186"/>
      <c r="Y57" s="185"/>
      <c r="Z57" s="185"/>
      <c r="AA57" s="185"/>
      <c r="AB57" s="185"/>
      <c r="AC57" s="188"/>
      <c r="AD57" s="188"/>
      <c r="AE57" s="20"/>
      <c r="AF57" s="25"/>
      <c r="AG57" s="183"/>
      <c r="AH57" s="186"/>
      <c r="AI57" s="185"/>
      <c r="AJ57" s="185"/>
      <c r="AK57" s="185"/>
      <c r="AL57" s="185"/>
      <c r="AM57" s="188"/>
      <c r="AN57" s="188"/>
      <c r="AO57" s="20"/>
      <c r="AP57" s="25"/>
      <c r="AQ57" s="183"/>
      <c r="AR57" s="186"/>
      <c r="AS57" s="185"/>
      <c r="AT57" s="185"/>
      <c r="AU57" s="185"/>
      <c r="AV57" s="185"/>
      <c r="AW57" s="188"/>
      <c r="AX57" s="188"/>
      <c r="AY57" s="20"/>
      <c r="AZ57" s="25"/>
      <c r="BA57" s="183"/>
      <c r="BB57" s="186"/>
      <c r="BC57" s="185"/>
      <c r="BD57" s="185"/>
      <c r="BE57" s="185"/>
      <c r="BF57" s="185"/>
      <c r="BG57" s="188"/>
      <c r="BH57" s="188"/>
      <c r="BI57" s="20"/>
      <c r="BJ57" s="25"/>
      <c r="BK57" s="183"/>
      <c r="BL57" s="186"/>
      <c r="BM57" s="185"/>
      <c r="BN57" s="185"/>
      <c r="BO57" s="185"/>
      <c r="BP57" s="185"/>
      <c r="BQ57" s="188"/>
      <c r="BR57" s="188"/>
      <c r="BS57" s="20"/>
      <c r="BT57" s="25"/>
      <c r="BU57" s="1"/>
      <c r="BV57" s="1"/>
    </row>
    <row r="58" spans="1:74" ht="15" customHeight="1" thickBot="1" x14ac:dyDescent="0.25">
      <c r="A58" s="203"/>
      <c r="B58" s="138" t="s">
        <v>20</v>
      </c>
      <c r="C58" s="28"/>
      <c r="D58" s="20"/>
      <c r="E58" s="185"/>
      <c r="F58" s="185"/>
      <c r="G58" s="185"/>
      <c r="H58" s="185"/>
      <c r="I58" s="188"/>
      <c r="J58" s="188"/>
      <c r="K58" s="20"/>
      <c r="L58" s="25"/>
      <c r="M58" s="28"/>
      <c r="N58" s="20"/>
      <c r="O58" s="185"/>
      <c r="P58" s="185"/>
      <c r="Q58" s="185"/>
      <c r="R58" s="185"/>
      <c r="S58" s="188"/>
      <c r="T58" s="188"/>
      <c r="U58" s="20"/>
      <c r="V58" s="25"/>
      <c r="W58" s="28"/>
      <c r="X58" s="20"/>
      <c r="Y58" s="185"/>
      <c r="Z58" s="185"/>
      <c r="AA58" s="185"/>
      <c r="AB58" s="185"/>
      <c r="AC58" s="188"/>
      <c r="AD58" s="188"/>
      <c r="AE58" s="20"/>
      <c r="AF58" s="25"/>
      <c r="AG58" s="28"/>
      <c r="AH58" s="20"/>
      <c r="AI58" s="185"/>
      <c r="AJ58" s="185"/>
      <c r="AK58" s="185"/>
      <c r="AL58" s="185"/>
      <c r="AM58" s="188"/>
      <c r="AN58" s="188"/>
      <c r="AO58" s="20"/>
      <c r="AP58" s="25"/>
      <c r="AQ58" s="28"/>
      <c r="AR58" s="20"/>
      <c r="AS58" s="185"/>
      <c r="AT58" s="185"/>
      <c r="AU58" s="185"/>
      <c r="AV58" s="185"/>
      <c r="AW58" s="188"/>
      <c r="AX58" s="188"/>
      <c r="AY58" s="20"/>
      <c r="AZ58" s="25"/>
      <c r="BA58" s="28"/>
      <c r="BB58" s="20"/>
      <c r="BC58" s="185"/>
      <c r="BD58" s="185"/>
      <c r="BE58" s="185"/>
      <c r="BF58" s="185"/>
      <c r="BG58" s="188"/>
      <c r="BH58" s="188"/>
      <c r="BI58" s="20"/>
      <c r="BJ58" s="25"/>
      <c r="BK58" s="28"/>
      <c r="BL58" s="20"/>
      <c r="BM58" s="185"/>
      <c r="BN58" s="185"/>
      <c r="BO58" s="185"/>
      <c r="BP58" s="185"/>
      <c r="BQ58" s="188"/>
      <c r="BR58" s="188"/>
      <c r="BS58" s="20"/>
      <c r="BT58" s="25"/>
      <c r="BU58" s="1"/>
      <c r="BV58" s="1"/>
    </row>
    <row r="59" spans="1:74" ht="15" customHeight="1" thickBot="1" x14ac:dyDescent="0.25">
      <c r="A59" s="203"/>
      <c r="B59" s="138" t="s">
        <v>21</v>
      </c>
      <c r="C59" s="28"/>
      <c r="D59" s="20"/>
      <c r="E59" s="186"/>
      <c r="F59" s="186"/>
      <c r="G59" s="185"/>
      <c r="H59" s="185"/>
      <c r="I59" s="188"/>
      <c r="J59" s="188"/>
      <c r="K59" s="20"/>
      <c r="L59" s="25"/>
      <c r="M59" s="28"/>
      <c r="N59" s="20"/>
      <c r="O59" s="186"/>
      <c r="P59" s="186"/>
      <c r="Q59" s="185"/>
      <c r="R59" s="185"/>
      <c r="S59" s="188"/>
      <c r="T59" s="188"/>
      <c r="U59" s="20"/>
      <c r="V59" s="25"/>
      <c r="W59" s="28"/>
      <c r="X59" s="20"/>
      <c r="Y59" s="186"/>
      <c r="Z59" s="186"/>
      <c r="AA59" s="185"/>
      <c r="AB59" s="185"/>
      <c r="AC59" s="188"/>
      <c r="AD59" s="188"/>
      <c r="AE59" s="20"/>
      <c r="AF59" s="25"/>
      <c r="AG59" s="28"/>
      <c r="AH59" s="20"/>
      <c r="AI59" s="186"/>
      <c r="AJ59" s="186"/>
      <c r="AK59" s="185"/>
      <c r="AL59" s="185"/>
      <c r="AM59" s="188"/>
      <c r="AN59" s="188"/>
      <c r="AO59" s="20"/>
      <c r="AP59" s="25"/>
      <c r="AQ59" s="28"/>
      <c r="AR59" s="20"/>
      <c r="AS59" s="186"/>
      <c r="AT59" s="186"/>
      <c r="AU59" s="185"/>
      <c r="AV59" s="185"/>
      <c r="AW59" s="188"/>
      <c r="AX59" s="188"/>
      <c r="AY59" s="20"/>
      <c r="AZ59" s="25"/>
      <c r="BA59" s="28"/>
      <c r="BB59" s="20"/>
      <c r="BC59" s="186"/>
      <c r="BD59" s="186"/>
      <c r="BE59" s="185"/>
      <c r="BF59" s="185"/>
      <c r="BG59" s="188"/>
      <c r="BH59" s="188"/>
      <c r="BI59" s="20"/>
      <c r="BJ59" s="25"/>
      <c r="BK59" s="28"/>
      <c r="BL59" s="20"/>
      <c r="BM59" s="186"/>
      <c r="BN59" s="186"/>
      <c r="BO59" s="185"/>
      <c r="BP59" s="185"/>
      <c r="BQ59" s="188"/>
      <c r="BR59" s="188"/>
      <c r="BS59" s="20"/>
      <c r="BT59" s="25"/>
      <c r="BU59" s="1"/>
      <c r="BV59" s="1"/>
    </row>
    <row r="60" spans="1:74" ht="15" customHeight="1" thickBot="1" x14ac:dyDescent="0.25">
      <c r="A60" s="203"/>
      <c r="B60" s="138" t="s">
        <v>22</v>
      </c>
      <c r="C60" s="28"/>
      <c r="D60" s="20"/>
      <c r="E60" s="20"/>
      <c r="F60" s="20"/>
      <c r="G60" s="185"/>
      <c r="H60" s="185"/>
      <c r="I60" s="188"/>
      <c r="J60" s="188"/>
      <c r="K60" s="20"/>
      <c r="L60" s="25"/>
      <c r="M60" s="28"/>
      <c r="N60" s="20"/>
      <c r="O60" s="20"/>
      <c r="P60" s="20"/>
      <c r="Q60" s="185"/>
      <c r="R60" s="185"/>
      <c r="S60" s="188"/>
      <c r="T60" s="188"/>
      <c r="U60" s="20"/>
      <c r="V60" s="25"/>
      <c r="W60" s="28"/>
      <c r="X60" s="20"/>
      <c r="Y60" s="20"/>
      <c r="Z60" s="20"/>
      <c r="AA60" s="185"/>
      <c r="AB60" s="185"/>
      <c r="AC60" s="188"/>
      <c r="AD60" s="188"/>
      <c r="AE60" s="20"/>
      <c r="AF60" s="25"/>
      <c r="AG60" s="28"/>
      <c r="AH60" s="20"/>
      <c r="AI60" s="20"/>
      <c r="AJ60" s="20"/>
      <c r="AK60" s="185"/>
      <c r="AL60" s="185"/>
      <c r="AM60" s="188"/>
      <c r="AN60" s="188"/>
      <c r="AO60" s="20"/>
      <c r="AP60" s="25"/>
      <c r="AQ60" s="28"/>
      <c r="AR60" s="20"/>
      <c r="AS60" s="20"/>
      <c r="AT60" s="20"/>
      <c r="AU60" s="185"/>
      <c r="AV60" s="185"/>
      <c r="AW60" s="188"/>
      <c r="AX60" s="188"/>
      <c r="AY60" s="20"/>
      <c r="AZ60" s="25"/>
      <c r="BA60" s="28"/>
      <c r="BB60" s="20"/>
      <c r="BC60" s="20"/>
      <c r="BD60" s="20"/>
      <c r="BE60" s="185"/>
      <c r="BF60" s="185"/>
      <c r="BG60" s="188"/>
      <c r="BH60" s="188"/>
      <c r="BI60" s="20"/>
      <c r="BJ60" s="25"/>
      <c r="BK60" s="28"/>
      <c r="BL60" s="20"/>
      <c r="BM60" s="20"/>
      <c r="BN60" s="20"/>
      <c r="BO60" s="185"/>
      <c r="BP60" s="185"/>
      <c r="BQ60" s="188"/>
      <c r="BR60" s="188"/>
      <c r="BS60" s="20"/>
      <c r="BT60" s="25"/>
      <c r="BU60" s="1"/>
      <c r="BV60" s="1"/>
    </row>
    <row r="61" spans="1:74" ht="15" customHeight="1" thickBot="1" x14ac:dyDescent="0.25">
      <c r="A61" s="203"/>
      <c r="B61" s="138" t="s">
        <v>23</v>
      </c>
      <c r="C61" s="27"/>
      <c r="D61" s="20"/>
      <c r="E61" s="20"/>
      <c r="F61" s="21"/>
      <c r="G61" s="186"/>
      <c r="H61" s="186"/>
      <c r="I61" s="188"/>
      <c r="J61" s="188"/>
      <c r="K61" s="20"/>
      <c r="L61" s="25"/>
      <c r="M61" s="27"/>
      <c r="N61" s="20"/>
      <c r="O61" s="20"/>
      <c r="P61" s="21"/>
      <c r="Q61" s="186"/>
      <c r="R61" s="186"/>
      <c r="S61" s="188"/>
      <c r="T61" s="188"/>
      <c r="U61" s="20"/>
      <c r="V61" s="25"/>
      <c r="W61" s="27"/>
      <c r="X61" s="20"/>
      <c r="Y61" s="20"/>
      <c r="Z61" s="21"/>
      <c r="AA61" s="186"/>
      <c r="AB61" s="186"/>
      <c r="AC61" s="188"/>
      <c r="AD61" s="188"/>
      <c r="AE61" s="20"/>
      <c r="AF61" s="25"/>
      <c r="AG61" s="27"/>
      <c r="AH61" s="20"/>
      <c r="AI61" s="20"/>
      <c r="AJ61" s="21"/>
      <c r="AK61" s="186"/>
      <c r="AL61" s="186"/>
      <c r="AM61" s="188"/>
      <c r="AN61" s="188"/>
      <c r="AO61" s="20"/>
      <c r="AP61" s="25"/>
      <c r="AQ61" s="27"/>
      <c r="AR61" s="20"/>
      <c r="AS61" s="20"/>
      <c r="AT61" s="21"/>
      <c r="AU61" s="186"/>
      <c r="AV61" s="186"/>
      <c r="AW61" s="188"/>
      <c r="AX61" s="188"/>
      <c r="AY61" s="20"/>
      <c r="AZ61" s="25"/>
      <c r="BA61" s="27"/>
      <c r="BB61" s="20"/>
      <c r="BC61" s="20"/>
      <c r="BD61" s="21"/>
      <c r="BE61" s="186"/>
      <c r="BF61" s="186"/>
      <c r="BG61" s="188"/>
      <c r="BH61" s="188"/>
      <c r="BI61" s="20"/>
      <c r="BJ61" s="25"/>
      <c r="BK61" s="27"/>
      <c r="BL61" s="20"/>
      <c r="BM61" s="20"/>
      <c r="BN61" s="21"/>
      <c r="BO61" s="186"/>
      <c r="BP61" s="186"/>
      <c r="BQ61" s="188"/>
      <c r="BR61" s="188"/>
      <c r="BS61" s="20"/>
      <c r="BT61" s="25"/>
      <c r="BU61" s="1"/>
      <c r="BV61" s="1"/>
    </row>
    <row r="62" spans="1:74" ht="15" customHeight="1" thickBot="1" x14ac:dyDescent="0.25">
      <c r="A62" s="204"/>
      <c r="B62" s="138" t="s">
        <v>24</v>
      </c>
      <c r="C62" s="144"/>
      <c r="D62" s="142"/>
      <c r="E62" s="142"/>
      <c r="F62" s="142"/>
      <c r="G62" s="142"/>
      <c r="H62" s="142"/>
      <c r="I62" s="188"/>
      <c r="J62" s="188"/>
      <c r="K62" s="142"/>
      <c r="L62" s="143"/>
      <c r="M62" s="144"/>
      <c r="N62" s="142"/>
      <c r="O62" s="142"/>
      <c r="P62" s="142"/>
      <c r="Q62" s="142"/>
      <c r="R62" s="142"/>
      <c r="S62" s="188"/>
      <c r="T62" s="188"/>
      <c r="U62" s="142"/>
      <c r="V62" s="143"/>
      <c r="W62" s="144"/>
      <c r="X62" s="142"/>
      <c r="Y62" s="142"/>
      <c r="Z62" s="142"/>
      <c r="AA62" s="142"/>
      <c r="AB62" s="142"/>
      <c r="AC62" s="188"/>
      <c r="AD62" s="188"/>
      <c r="AE62" s="142"/>
      <c r="AF62" s="143"/>
      <c r="AG62" s="144"/>
      <c r="AH62" s="142"/>
      <c r="AI62" s="142"/>
      <c r="AJ62" s="142"/>
      <c r="AK62" s="142"/>
      <c r="AL62" s="142"/>
      <c r="AM62" s="188"/>
      <c r="AN62" s="188"/>
      <c r="AO62" s="142"/>
      <c r="AP62" s="143"/>
      <c r="AQ62" s="144"/>
      <c r="AR62" s="142"/>
      <c r="AS62" s="142"/>
      <c r="AT62" s="142"/>
      <c r="AU62" s="142"/>
      <c r="AV62" s="142"/>
      <c r="AW62" s="188"/>
      <c r="AX62" s="188"/>
      <c r="AY62" s="142"/>
      <c r="AZ62" s="143"/>
      <c r="BA62" s="144"/>
      <c r="BB62" s="142"/>
      <c r="BC62" s="142"/>
      <c r="BD62" s="142"/>
      <c r="BE62" s="142"/>
      <c r="BF62" s="142"/>
      <c r="BG62" s="188"/>
      <c r="BH62" s="188"/>
      <c r="BI62" s="142"/>
      <c r="BJ62" s="143"/>
      <c r="BK62" s="144"/>
      <c r="BL62" s="142"/>
      <c r="BM62" s="142"/>
      <c r="BN62" s="142"/>
      <c r="BO62" s="142"/>
      <c r="BP62" s="142"/>
      <c r="BQ62" s="188"/>
      <c r="BR62" s="188"/>
      <c r="BS62" s="142"/>
      <c r="BT62" s="143"/>
      <c r="BU62" s="1"/>
      <c r="BV62" s="1"/>
    </row>
    <row r="63" spans="1:74" ht="15" customHeight="1" x14ac:dyDescent="0.2">
      <c r="A63" s="134"/>
      <c r="B63" s="138" t="s">
        <v>1</v>
      </c>
      <c r="C63" s="149"/>
      <c r="D63" s="145"/>
      <c r="E63" s="145"/>
      <c r="F63" s="145"/>
      <c r="G63" s="145"/>
      <c r="H63" s="145"/>
      <c r="I63" s="188"/>
      <c r="J63" s="188"/>
      <c r="K63" s="145"/>
      <c r="L63" s="150"/>
      <c r="M63" s="149"/>
      <c r="N63" s="145"/>
      <c r="O63" s="145"/>
      <c r="P63" s="145"/>
      <c r="Q63" s="145"/>
      <c r="R63" s="145"/>
      <c r="S63" s="188"/>
      <c r="T63" s="188"/>
      <c r="U63" s="145"/>
      <c r="V63" s="150"/>
      <c r="W63" s="149"/>
      <c r="X63" s="145"/>
      <c r="Y63" s="145"/>
      <c r="Z63" s="145"/>
      <c r="AA63" s="145"/>
      <c r="AB63" s="145"/>
      <c r="AC63" s="188"/>
      <c r="AD63" s="188"/>
      <c r="AE63" s="145"/>
      <c r="AF63" s="150"/>
      <c r="AG63" s="149"/>
      <c r="AH63" s="145"/>
      <c r="AI63" s="145"/>
      <c r="AJ63" s="145"/>
      <c r="AK63" s="145"/>
      <c r="AL63" s="145"/>
      <c r="AM63" s="188"/>
      <c r="AN63" s="188"/>
      <c r="AO63" s="145"/>
      <c r="AP63" s="150"/>
      <c r="AQ63" s="149"/>
      <c r="AR63" s="145"/>
      <c r="AS63" s="145"/>
      <c r="AT63" s="145"/>
      <c r="AU63" s="145"/>
      <c r="AV63" s="145"/>
      <c r="AW63" s="188"/>
      <c r="AX63" s="188"/>
      <c r="AY63" s="145"/>
      <c r="AZ63" s="150"/>
      <c r="BA63" s="149"/>
      <c r="BB63" s="145"/>
      <c r="BC63" s="145"/>
      <c r="BD63" s="145"/>
      <c r="BE63" s="145"/>
      <c r="BF63" s="145"/>
      <c r="BG63" s="188"/>
      <c r="BH63" s="188"/>
      <c r="BI63" s="145"/>
      <c r="BJ63" s="150"/>
      <c r="BK63" s="149"/>
      <c r="BL63" s="145"/>
      <c r="BM63" s="145"/>
      <c r="BN63" s="145"/>
      <c r="BO63" s="145"/>
      <c r="BP63" s="145"/>
      <c r="BQ63" s="188"/>
      <c r="BR63" s="188"/>
      <c r="BS63" s="145"/>
      <c r="BT63" s="150"/>
      <c r="BU63" s="1"/>
      <c r="BV63" s="1"/>
    </row>
    <row r="64" spans="1:74" ht="15" customHeight="1" thickBot="1" x14ac:dyDescent="0.25">
      <c r="A64" s="134"/>
      <c r="B64" s="138" t="s">
        <v>2</v>
      </c>
      <c r="C64" s="136"/>
      <c r="D64" s="135"/>
      <c r="E64" s="135"/>
      <c r="F64" s="135"/>
      <c r="G64" s="135"/>
      <c r="H64" s="135"/>
      <c r="I64" s="189"/>
      <c r="J64" s="189"/>
      <c r="K64" s="135"/>
      <c r="L64" s="137"/>
      <c r="M64" s="136"/>
      <c r="N64" s="135"/>
      <c r="O64" s="135"/>
      <c r="P64" s="135"/>
      <c r="Q64" s="135"/>
      <c r="R64" s="135"/>
      <c r="S64" s="189"/>
      <c r="T64" s="189"/>
      <c r="U64" s="135"/>
      <c r="V64" s="137"/>
      <c r="W64" s="136"/>
      <c r="X64" s="135"/>
      <c r="Y64" s="135"/>
      <c r="Z64" s="135"/>
      <c r="AA64" s="135"/>
      <c r="AB64" s="135"/>
      <c r="AC64" s="189"/>
      <c r="AD64" s="189"/>
      <c r="AE64" s="135"/>
      <c r="AF64" s="137"/>
      <c r="AG64" s="136"/>
      <c r="AH64" s="135"/>
      <c r="AI64" s="135"/>
      <c r="AJ64" s="135"/>
      <c r="AK64" s="135"/>
      <c r="AL64" s="135"/>
      <c r="AM64" s="189"/>
      <c r="AN64" s="189"/>
      <c r="AO64" s="135"/>
      <c r="AP64" s="137"/>
      <c r="AQ64" s="136"/>
      <c r="AR64" s="135"/>
      <c r="AS64" s="135"/>
      <c r="AT64" s="135"/>
      <c r="AU64" s="135"/>
      <c r="AV64" s="135"/>
      <c r="AW64" s="189"/>
      <c r="AX64" s="189"/>
      <c r="AY64" s="135"/>
      <c r="AZ64" s="137"/>
      <c r="BA64" s="136"/>
      <c r="BB64" s="135"/>
      <c r="BC64" s="135"/>
      <c r="BD64" s="135"/>
      <c r="BE64" s="135"/>
      <c r="BF64" s="135"/>
      <c r="BG64" s="189"/>
      <c r="BH64" s="189"/>
      <c r="BI64" s="135"/>
      <c r="BJ64" s="137"/>
      <c r="BK64" s="136"/>
      <c r="BL64" s="135"/>
      <c r="BM64" s="135"/>
      <c r="BN64" s="135"/>
      <c r="BO64" s="135"/>
      <c r="BP64" s="135"/>
      <c r="BQ64" s="189"/>
      <c r="BR64" s="189"/>
      <c r="BS64" s="135"/>
      <c r="BT64" s="137"/>
      <c r="BU64" s="1"/>
      <c r="BV64" s="1"/>
    </row>
    <row r="65" spans="1:74" ht="15" customHeight="1" thickBot="1" x14ac:dyDescent="0.25">
      <c r="A65" s="208" t="s">
        <v>26</v>
      </c>
      <c r="B65" s="195" t="str">
        <f>UPPER(TEXT(Configuração!R8,"[$]ddd"))</f>
        <v>QUA</v>
      </c>
      <c r="C65" s="196"/>
      <c r="D65" s="196"/>
      <c r="E65" s="196"/>
      <c r="F65" s="196"/>
      <c r="G65" s="196"/>
      <c r="H65" s="196"/>
      <c r="I65" s="196"/>
      <c r="J65" s="196"/>
      <c r="K65" s="196"/>
      <c r="L65" s="197"/>
      <c r="M65" s="195" t="str">
        <f>UPPER(TEXT(Configuração!S8,"[$]ddd"))</f>
        <v>QUI</v>
      </c>
      <c r="N65" s="196"/>
      <c r="O65" s="196"/>
      <c r="P65" s="196"/>
      <c r="Q65" s="196"/>
      <c r="R65" s="196"/>
      <c r="S65" s="196"/>
      <c r="T65" s="196"/>
      <c r="U65" s="196"/>
      <c r="V65" s="197"/>
      <c r="W65" s="195" t="str">
        <f>UPPER(TEXT(Configuração!T8,"[$]ddd"))</f>
        <v>SEX</v>
      </c>
      <c r="X65" s="196"/>
      <c r="Y65" s="196"/>
      <c r="Z65" s="196"/>
      <c r="AA65" s="196"/>
      <c r="AB65" s="196"/>
      <c r="AC65" s="196"/>
      <c r="AD65" s="196"/>
      <c r="AE65" s="196"/>
      <c r="AF65" s="197"/>
      <c r="AG65" s="195" t="str">
        <f>UPPER(TEXT(Configuração!U8,"[$]ddd"))</f>
        <v>SÁB</v>
      </c>
      <c r="AH65" s="196"/>
      <c r="AI65" s="196"/>
      <c r="AJ65" s="196"/>
      <c r="AK65" s="196"/>
      <c r="AL65" s="196"/>
      <c r="AM65" s="196"/>
      <c r="AN65" s="196"/>
      <c r="AO65" s="196"/>
      <c r="AP65" s="197"/>
      <c r="AQ65" s="195" t="str">
        <f>UPPER(TEXT(Configuração!V8,"[$]ddd"))</f>
        <v>DOM</v>
      </c>
      <c r="AR65" s="196"/>
      <c r="AS65" s="196"/>
      <c r="AT65" s="196"/>
      <c r="AU65" s="196"/>
      <c r="AV65" s="196"/>
      <c r="AW65" s="196"/>
      <c r="AX65" s="196"/>
      <c r="AY65" s="196"/>
      <c r="AZ65" s="197"/>
      <c r="BA65" s="195" t="str">
        <f>UPPER(TEXT(Configuração!W8,"[$]ddd"))</f>
        <v>SEG</v>
      </c>
      <c r="BB65" s="196"/>
      <c r="BC65" s="196"/>
      <c r="BD65" s="196"/>
      <c r="BE65" s="196"/>
      <c r="BF65" s="196"/>
      <c r="BG65" s="196"/>
      <c r="BH65" s="196"/>
      <c r="BI65" s="196"/>
      <c r="BJ65" s="197"/>
      <c r="BK65" s="195" t="str">
        <f>UPPER(TEXT(Configuração!X8,"[$]ddd"))</f>
        <v>TER</v>
      </c>
      <c r="BL65" s="196"/>
      <c r="BM65" s="196"/>
      <c r="BN65" s="196"/>
      <c r="BO65" s="196"/>
      <c r="BP65" s="196"/>
      <c r="BQ65" s="196"/>
      <c r="BR65" s="196"/>
      <c r="BS65" s="196"/>
      <c r="BT65" s="197"/>
      <c r="BU65" s="1"/>
      <c r="BV65" s="1"/>
    </row>
    <row r="66" spans="1:74" ht="15" customHeight="1" thickBot="1" x14ac:dyDescent="0.25">
      <c r="A66" s="209"/>
      <c r="B66" s="198"/>
      <c r="C66" s="205">
        <f>Configuração!R9</f>
        <v>45427</v>
      </c>
      <c r="D66" s="206"/>
      <c r="E66" s="206"/>
      <c r="F66" s="206"/>
      <c r="G66" s="206"/>
      <c r="H66" s="206"/>
      <c r="I66" s="206"/>
      <c r="J66" s="206"/>
      <c r="K66" s="206"/>
      <c r="L66" s="207"/>
      <c r="M66" s="205">
        <f>Configuração!S9</f>
        <v>45428</v>
      </c>
      <c r="N66" s="206"/>
      <c r="O66" s="206"/>
      <c r="P66" s="206"/>
      <c r="Q66" s="206"/>
      <c r="R66" s="206"/>
      <c r="S66" s="206"/>
      <c r="T66" s="206"/>
      <c r="U66" s="206"/>
      <c r="V66" s="207"/>
      <c r="W66" s="205">
        <f>Configuração!T9</f>
        <v>45429</v>
      </c>
      <c r="X66" s="206"/>
      <c r="Y66" s="206"/>
      <c r="Z66" s="206"/>
      <c r="AA66" s="206"/>
      <c r="AB66" s="206"/>
      <c r="AC66" s="206"/>
      <c r="AD66" s="206"/>
      <c r="AE66" s="206"/>
      <c r="AF66" s="207"/>
      <c r="AG66" s="205">
        <f>Configuração!U9</f>
        <v>45430</v>
      </c>
      <c r="AH66" s="206"/>
      <c r="AI66" s="206"/>
      <c r="AJ66" s="206"/>
      <c r="AK66" s="206"/>
      <c r="AL66" s="206"/>
      <c r="AM66" s="206"/>
      <c r="AN66" s="206"/>
      <c r="AO66" s="206"/>
      <c r="AP66" s="207"/>
      <c r="AQ66" s="205">
        <f>Configuração!V9</f>
        <v>45431</v>
      </c>
      <c r="AR66" s="206"/>
      <c r="AS66" s="206"/>
      <c r="AT66" s="206"/>
      <c r="AU66" s="206"/>
      <c r="AV66" s="206"/>
      <c r="AW66" s="206"/>
      <c r="AX66" s="206"/>
      <c r="AY66" s="206"/>
      <c r="AZ66" s="207"/>
      <c r="BA66" s="205">
        <f>Configuração!W9</f>
        <v>45432</v>
      </c>
      <c r="BB66" s="206"/>
      <c r="BC66" s="206"/>
      <c r="BD66" s="206"/>
      <c r="BE66" s="206"/>
      <c r="BF66" s="206"/>
      <c r="BG66" s="206"/>
      <c r="BH66" s="206"/>
      <c r="BI66" s="206"/>
      <c r="BJ66" s="207"/>
      <c r="BK66" s="205">
        <f>Configuração!X9</f>
        <v>45433</v>
      </c>
      <c r="BL66" s="206"/>
      <c r="BM66" s="206"/>
      <c r="BN66" s="206"/>
      <c r="BO66" s="206"/>
      <c r="BP66" s="206"/>
      <c r="BQ66" s="206"/>
      <c r="BR66" s="206"/>
      <c r="BS66" s="206"/>
      <c r="BT66" s="207"/>
      <c r="BU66" s="1"/>
      <c r="BV66" s="1"/>
    </row>
    <row r="67" spans="1:74" ht="15" customHeight="1" x14ac:dyDescent="0.2">
      <c r="A67" s="209"/>
      <c r="B67" s="199"/>
      <c r="C67" s="64">
        <v>1</v>
      </c>
      <c r="D67" s="65">
        <v>2</v>
      </c>
      <c r="E67" s="66">
        <v>3</v>
      </c>
      <c r="F67" s="66">
        <v>4</v>
      </c>
      <c r="G67" s="66">
        <v>5</v>
      </c>
      <c r="H67" s="65">
        <v>6</v>
      </c>
      <c r="I67" s="147">
        <v>7</v>
      </c>
      <c r="J67" s="65">
        <v>8</v>
      </c>
      <c r="K67" s="65">
        <v>9</v>
      </c>
      <c r="L67" s="63">
        <v>10</v>
      </c>
      <c r="M67" s="64">
        <v>1</v>
      </c>
      <c r="N67" s="65">
        <v>2</v>
      </c>
      <c r="O67" s="66">
        <v>3</v>
      </c>
      <c r="P67" s="66">
        <v>4</v>
      </c>
      <c r="Q67" s="66">
        <v>5</v>
      </c>
      <c r="R67" s="65">
        <v>6</v>
      </c>
      <c r="S67" s="147">
        <v>7</v>
      </c>
      <c r="T67" s="65">
        <v>8</v>
      </c>
      <c r="U67" s="65">
        <v>9</v>
      </c>
      <c r="V67" s="63">
        <v>10</v>
      </c>
      <c r="W67" s="64">
        <v>1</v>
      </c>
      <c r="X67" s="65">
        <v>2</v>
      </c>
      <c r="Y67" s="66">
        <v>3</v>
      </c>
      <c r="Z67" s="66">
        <v>4</v>
      </c>
      <c r="AA67" s="66">
        <v>5</v>
      </c>
      <c r="AB67" s="65">
        <v>6</v>
      </c>
      <c r="AC67" s="147">
        <v>7</v>
      </c>
      <c r="AD67" s="65">
        <v>8</v>
      </c>
      <c r="AE67" s="65">
        <v>9</v>
      </c>
      <c r="AF67" s="63">
        <v>10</v>
      </c>
      <c r="AG67" s="64">
        <v>1</v>
      </c>
      <c r="AH67" s="65">
        <v>2</v>
      </c>
      <c r="AI67" s="66">
        <v>3</v>
      </c>
      <c r="AJ67" s="66">
        <v>4</v>
      </c>
      <c r="AK67" s="66">
        <v>5</v>
      </c>
      <c r="AL67" s="65">
        <v>6</v>
      </c>
      <c r="AM67" s="147">
        <v>7</v>
      </c>
      <c r="AN67" s="65">
        <v>8</v>
      </c>
      <c r="AO67" s="65">
        <v>9</v>
      </c>
      <c r="AP67" s="63">
        <v>10</v>
      </c>
      <c r="AQ67" s="64">
        <v>1</v>
      </c>
      <c r="AR67" s="65">
        <v>2</v>
      </c>
      <c r="AS67" s="66">
        <v>3</v>
      </c>
      <c r="AT67" s="66">
        <v>4</v>
      </c>
      <c r="AU67" s="66">
        <v>5</v>
      </c>
      <c r="AV67" s="65">
        <v>6</v>
      </c>
      <c r="AW67" s="147">
        <v>7</v>
      </c>
      <c r="AX67" s="65">
        <v>8</v>
      </c>
      <c r="AY67" s="65">
        <v>9</v>
      </c>
      <c r="AZ67" s="63">
        <v>10</v>
      </c>
      <c r="BA67" s="64">
        <v>1</v>
      </c>
      <c r="BB67" s="65">
        <v>2</v>
      </c>
      <c r="BC67" s="66">
        <v>3</v>
      </c>
      <c r="BD67" s="66">
        <v>4</v>
      </c>
      <c r="BE67" s="66">
        <v>5</v>
      </c>
      <c r="BF67" s="65">
        <v>6</v>
      </c>
      <c r="BG67" s="147">
        <v>7</v>
      </c>
      <c r="BH67" s="65">
        <v>8</v>
      </c>
      <c r="BI67" s="65">
        <v>9</v>
      </c>
      <c r="BJ67" s="63">
        <v>10</v>
      </c>
      <c r="BK67" s="64">
        <v>1</v>
      </c>
      <c r="BL67" s="65">
        <v>2</v>
      </c>
      <c r="BM67" s="66">
        <v>3</v>
      </c>
      <c r="BN67" s="66">
        <v>4</v>
      </c>
      <c r="BO67" s="66">
        <v>5</v>
      </c>
      <c r="BP67" s="65">
        <v>6</v>
      </c>
      <c r="BQ67" s="147">
        <v>7</v>
      </c>
      <c r="BR67" s="65">
        <v>8</v>
      </c>
      <c r="BS67" s="65">
        <v>9</v>
      </c>
      <c r="BT67" s="63">
        <v>10</v>
      </c>
      <c r="BU67" s="1"/>
      <c r="BV67" s="1"/>
    </row>
    <row r="68" spans="1:74" ht="15" customHeight="1" x14ac:dyDescent="0.2">
      <c r="A68" s="209"/>
      <c r="B68" s="138" t="s">
        <v>1</v>
      </c>
      <c r="C68" s="27"/>
      <c r="D68" s="20"/>
      <c r="E68" s="20"/>
      <c r="F68" s="21"/>
      <c r="G68" s="20"/>
      <c r="H68" s="20"/>
      <c r="I68" s="20"/>
      <c r="J68" s="19"/>
      <c r="K68" s="20"/>
      <c r="L68" s="25"/>
      <c r="M68" s="27"/>
      <c r="N68" s="20"/>
      <c r="O68" s="20"/>
      <c r="P68" s="21"/>
      <c r="Q68" s="20"/>
      <c r="R68" s="20"/>
      <c r="S68" s="20"/>
      <c r="T68" s="19"/>
      <c r="U68" s="20"/>
      <c r="V68" s="25"/>
      <c r="W68" s="27"/>
      <c r="X68" s="20"/>
      <c r="Y68" s="20"/>
      <c r="Z68" s="21"/>
      <c r="AA68" s="20"/>
      <c r="AB68" s="20"/>
      <c r="AC68" s="20"/>
      <c r="AD68" s="19"/>
      <c r="AE68" s="20"/>
      <c r="AF68" s="25"/>
      <c r="AG68" s="27"/>
      <c r="AH68" s="20"/>
      <c r="AI68" s="20"/>
      <c r="AJ68" s="21"/>
      <c r="AK68" s="20"/>
      <c r="AL68" s="20"/>
      <c r="AM68" s="20"/>
      <c r="AN68" s="19"/>
      <c r="AO68" s="20"/>
      <c r="AP68" s="25"/>
      <c r="AQ68" s="27"/>
      <c r="AR68" s="20"/>
      <c r="AS68" s="20"/>
      <c r="AT68" s="21"/>
      <c r="AU68" s="20"/>
      <c r="AV68" s="20"/>
      <c r="AW68" s="20"/>
      <c r="AX68" s="19"/>
      <c r="AY68" s="20"/>
      <c r="AZ68" s="25"/>
      <c r="BA68" s="27"/>
      <c r="BB68" s="20"/>
      <c r="BC68" s="20"/>
      <c r="BD68" s="21"/>
      <c r="BE68" s="20"/>
      <c r="BF68" s="20"/>
      <c r="BG68" s="20"/>
      <c r="BH68" s="19"/>
      <c r="BI68" s="20"/>
      <c r="BJ68" s="25"/>
      <c r="BK68" s="27"/>
      <c r="BL68" s="20"/>
      <c r="BM68" s="20"/>
      <c r="BN68" s="21"/>
      <c r="BO68" s="20"/>
      <c r="BP68" s="20"/>
      <c r="BQ68" s="20"/>
      <c r="BR68" s="19"/>
      <c r="BS68" s="20"/>
      <c r="BT68" s="25"/>
      <c r="BU68" s="1"/>
      <c r="BV68" s="1"/>
    </row>
    <row r="69" spans="1:74" ht="15" customHeight="1" x14ac:dyDescent="0.2">
      <c r="A69" s="209"/>
      <c r="B69" s="139" t="s">
        <v>75</v>
      </c>
      <c r="C69" s="28"/>
      <c r="D69" s="20"/>
      <c r="E69" s="20"/>
      <c r="F69" s="20"/>
      <c r="G69" s="20"/>
      <c r="H69" s="20"/>
      <c r="I69" s="20"/>
      <c r="J69" s="18"/>
      <c r="K69" s="184" t="str">
        <f>IF(Configuração!R18=EscalaLinear!BY5,10,IF(Configuração!R18=BY6,9,IF(Configuração!R18=BY7,8,IF(Configuração!R18=BY8,7,IF(Configuração!R18=BY9,6,IF(Configuração!R18=BY10,5,IF(Configuração!R18=BY11,4,IF(Configuração!R18=BY12,3,IF(Configuração!R18=BY13,2,IF(Configuração!R18=BY14,1,""))))))))))</f>
        <v/>
      </c>
      <c r="L69" s="190" t="str">
        <f>IF(Configuração!R19=EscalaLinear!BY5,10,IF(Configuração!R19=BY6,9,IF(Configuração!R19=BY7,8,IF(Configuração!R19=BY8,7,IF(Configuração!R19=BY9,6,IF(Configuração!R19=BY10,5,IF(Configuração!R19=BY11,4,IF(Configuração!R19=BY12,3,IF(Configuração!R19=BY13,2,IF(Configuração!R19=BY14,1,""))))))))))</f>
        <v/>
      </c>
      <c r="M69" s="28"/>
      <c r="N69" s="20"/>
      <c r="O69" s="20"/>
      <c r="P69" s="20"/>
      <c r="Q69" s="20"/>
      <c r="R69" s="20"/>
      <c r="S69" s="20"/>
      <c r="T69" s="18"/>
      <c r="U69" s="184" t="str">
        <f>IF(Configuração!S18=EscalaLinear!BY5,10,IF(Configuração!S18=BY6,9,IF(Configuração!S18=BY7,8,IF(Configuração!S18=BY8,7,IF(Configuração!S18=BY9,6,IF(Configuração!S18=BY10,5,IF(Configuração!S18=BY11,4,IF(Configuração!S18=BY12,3,IF(Configuração!S18=BY13,2,IF(Configuração!S18=BY14,1,""))))))))))</f>
        <v/>
      </c>
      <c r="V69" s="190" t="str">
        <f>IF(Configuração!S19=EscalaLinear!BY5,10,IF(Configuração!S19=BY6,9,IF(Configuração!S19=BY7,8,IF(Configuração!S19=BY8,7,IF(Configuração!S19=BY9,6,IF(Configuração!S19=BY10,5,IF(Configuração!S19=BY11,4,IF(Configuração!S19=BY12,3,IF(Configuração!S19=BY13,2,IF(Configuração!S19=BY14,1,""))))))))))</f>
        <v/>
      </c>
      <c r="W69" s="28"/>
      <c r="X69" s="20"/>
      <c r="Y69" s="20"/>
      <c r="Z69" s="20"/>
      <c r="AA69" s="20"/>
      <c r="AB69" s="20"/>
      <c r="AC69" s="20"/>
      <c r="AD69" s="18"/>
      <c r="AE69" s="184" t="str">
        <f>IF(Configuração!T18=EscalaLinear!BY5,10,IF(Configuração!T18=BY6,9,IF(Configuração!T18=BY7,8,IF(Configuração!T18=BY8,7,IF(Configuração!T18=BY9,6,IF(Configuração!T18=BY10,5,IF(Configuração!T18=BY11,4,IF(Configuração!T18=BY12,3,IF(Configuração!T18=BY13,2,IF(Configuração!T18=BY14,1,""))))))))))</f>
        <v/>
      </c>
      <c r="AF69" s="190" t="str">
        <f>IF(Configuração!T19=EscalaLinear!BY5,10,IF(Configuração!T19=BY6,9,IF(Configuração!T19=BY7,8,IF(Configuração!T19=BY8,7,IF(Configuração!T19=BY9,6,IF(Configuração!T19=BY10,5,IF(Configuração!T19=BY11,4,IF(Configuração!T19=BY12,3,IF(Configuração!T19=BY13,2,IF(Configuração!T19=BY14,1,""))))))))))</f>
        <v/>
      </c>
      <c r="AG69" s="28"/>
      <c r="AH69" s="20"/>
      <c r="AI69" s="20"/>
      <c r="AJ69" s="20"/>
      <c r="AK69" s="20"/>
      <c r="AL69" s="20"/>
      <c r="AM69" s="20"/>
      <c r="AN69" s="18"/>
      <c r="AO69" s="184" t="str">
        <f>IF(Configuração!U18=EscalaLinear!BY5,10,IF(Configuração!U18=BY6,9,IF(Configuração!U18=BY7,8,IF(Configuração!U18=BY8,7,IF(Configuração!U18=BY9,6,IF(Configuração!U18=BY10,5,IF(Configuração!U18=BY11,4,IF(Configuração!U18=BY12,3,IF(Configuração!U18=BY13,2,IF(Configuração!U18=BY14,1,""))))))))))</f>
        <v/>
      </c>
      <c r="AP69" s="190" t="str">
        <f>IF(Configuração!U19=EscalaLinear!BY5,10,IF(Configuração!U19=BY6,9,IF(Configuração!U19=BY7,8,IF(Configuração!U19=BY8,7,IF(Configuração!U19=BY9,6,IF(Configuração!U19=BY10,5,IF(Configuração!U19=BY11,4,IF(Configuração!U19=BY12,3,IF(Configuração!U19=BY13,2,IF(Configuração!U19=BY14,1,""))))))))))</f>
        <v/>
      </c>
      <c r="AQ69" s="28"/>
      <c r="AR69" s="20"/>
      <c r="AS69" s="20"/>
      <c r="AT69" s="20"/>
      <c r="AU69" s="20"/>
      <c r="AV69" s="20"/>
      <c r="AW69" s="20"/>
      <c r="AX69" s="18"/>
      <c r="AY69" s="184" t="str">
        <f>IF(Configuração!V18=EscalaLinear!BY5,10,IF(Configuração!V18=BY6,9,IF(Configuração!V18=BY7,8,IF(Configuração!V18=BY8,7,IF(Configuração!V18=BY9,6,IF(Configuração!V18=BY10,5,IF(Configuração!V18=BY11,4,IF(Configuração!V18=BY12,3,IF(Configuração!V18=BY13,2,IF(Configuração!V18=BY14,1,""))))))))))</f>
        <v/>
      </c>
      <c r="AZ69" s="190" t="str">
        <f>IF(Configuração!V19=EscalaLinear!BY5,10,IF(Configuração!V19=BY6,9,IF(Configuração!V19=BY7,8,IF(Configuração!V19=BY8,7,IF(Configuração!V19=BY9,6,IF(Configuração!V19=BY10,5,IF(Configuração!V19=BY11,4,IF(Configuração!V19=BY12,3,IF(Configuração!V19=BY13,2,IF(Configuração!V19=BY14,1,""))))))))))</f>
        <v/>
      </c>
      <c r="BA69" s="28"/>
      <c r="BB69" s="20"/>
      <c r="BC69" s="20"/>
      <c r="BD69" s="20"/>
      <c r="BE69" s="20"/>
      <c r="BF69" s="20"/>
      <c r="BG69" s="20"/>
      <c r="BH69" s="18"/>
      <c r="BI69" s="184" t="str">
        <f>IF(Configuração!W18=EscalaLinear!BY5,10,IF(Configuração!W18=BY6,9,IF(Configuração!W18=BY7,8,IF(Configuração!W18=BY8,7,IF(Configuração!W18=BY9,6,IF(Configuração!W18=BY10,5,IF(Configuração!W18=BY11,4,IF(Configuração!W18=BY12,3,IF(Configuração!W18=BY13,2,IF(Configuração!W18=BY14,1,""))))))))))</f>
        <v/>
      </c>
      <c r="BJ69" s="190" t="str">
        <f>IF(Configuração!W19=EscalaLinear!BY5,10,IF(Configuração!W19=BY6,9,IF(Configuração!W19=BY7,8,IF(Configuração!W19=BY8,7,IF(Configuração!W19=BY9,6,IF(Configuração!W19=BY10,5,IF(Configuração!W19=BY11,4,IF(Configuração!W19=BY12,3,IF(Configuração!W19=BY13,2,IF(Configuração!W19=BY14,1,""))))))))))</f>
        <v/>
      </c>
      <c r="BK69" s="28"/>
      <c r="BL69" s="20"/>
      <c r="BM69" s="20"/>
      <c r="BN69" s="20"/>
      <c r="BO69" s="20"/>
      <c r="BP69" s="20"/>
      <c r="BQ69" s="20"/>
      <c r="BR69" s="18"/>
      <c r="BS69" s="184" t="str">
        <f>IF(Configuração!X18=EscalaLinear!BY5,10,IF(Configuração!X18=BY6,9,IF(Configuração!X18=BY7,8,IF(Configuração!X18=BY8,7,IF(Configuração!X18=BY9,6,IF(Configuração!X18=BY10,5,IF(Configuração!X18=BY11,4,IF(Configuração!X18=BY12,3,IF(Configuração!X18=BY13,2,IF(Configuração!X18=BY14,1,""))))))))))</f>
        <v/>
      </c>
      <c r="BT69" s="190" t="str">
        <f>IF(Configuração!X19=EscalaLinear!BY5,10,IF(Configuração!X19=BY6,9,IF(Configuração!X19=BY7,8,IF(Configuração!X19=BY8,7,IF(Configuração!X19=BY9,6,IF(Configuração!X19=BY10,5,IF(Configuração!X19=BY11,4,IF(Configuração!X19=BY12,3,IF(Configuração!X19=BY13,2,IF(Configuração!X19=BY14,1,""))))))))))</f>
        <v/>
      </c>
      <c r="BU69" s="1"/>
      <c r="BV69" s="1"/>
    </row>
    <row r="70" spans="1:74" ht="15" customHeight="1" x14ac:dyDescent="0.2">
      <c r="A70" s="209"/>
      <c r="B70" s="138" t="s">
        <v>2</v>
      </c>
      <c r="C70" s="28"/>
      <c r="D70" s="20"/>
      <c r="E70" s="20"/>
      <c r="F70" s="20"/>
      <c r="G70" s="20"/>
      <c r="H70" s="20"/>
      <c r="I70" s="20"/>
      <c r="J70" s="18"/>
      <c r="K70" s="185"/>
      <c r="L70" s="191"/>
      <c r="M70" s="28"/>
      <c r="N70" s="20"/>
      <c r="O70" s="20"/>
      <c r="P70" s="20"/>
      <c r="Q70" s="20"/>
      <c r="R70" s="20"/>
      <c r="S70" s="20"/>
      <c r="T70" s="18"/>
      <c r="U70" s="185"/>
      <c r="V70" s="191"/>
      <c r="W70" s="28"/>
      <c r="X70" s="20"/>
      <c r="Y70" s="20"/>
      <c r="Z70" s="20"/>
      <c r="AA70" s="20"/>
      <c r="AB70" s="20"/>
      <c r="AC70" s="20"/>
      <c r="AD70" s="18"/>
      <c r="AE70" s="185"/>
      <c r="AF70" s="191"/>
      <c r="AG70" s="28"/>
      <c r="AH70" s="20"/>
      <c r="AI70" s="20"/>
      <c r="AJ70" s="20"/>
      <c r="AK70" s="20"/>
      <c r="AL70" s="20"/>
      <c r="AM70" s="20"/>
      <c r="AN70" s="18"/>
      <c r="AO70" s="185"/>
      <c r="AP70" s="191"/>
      <c r="AQ70" s="28"/>
      <c r="AR70" s="20"/>
      <c r="AS70" s="20"/>
      <c r="AT70" s="20"/>
      <c r="AU70" s="20"/>
      <c r="AV70" s="20"/>
      <c r="AW70" s="20"/>
      <c r="AX70" s="18"/>
      <c r="AY70" s="185"/>
      <c r="AZ70" s="191"/>
      <c r="BA70" s="28"/>
      <c r="BB70" s="20"/>
      <c r="BC70" s="20"/>
      <c r="BD70" s="20"/>
      <c r="BE70" s="20"/>
      <c r="BF70" s="20"/>
      <c r="BG70" s="20"/>
      <c r="BH70" s="18"/>
      <c r="BI70" s="185"/>
      <c r="BJ70" s="191"/>
      <c r="BK70" s="28"/>
      <c r="BL70" s="20"/>
      <c r="BM70" s="20"/>
      <c r="BN70" s="20"/>
      <c r="BO70" s="20"/>
      <c r="BP70" s="20"/>
      <c r="BQ70" s="20"/>
      <c r="BR70" s="18"/>
      <c r="BS70" s="185"/>
      <c r="BT70" s="191"/>
      <c r="BU70" s="1"/>
      <c r="BV70" s="1"/>
    </row>
    <row r="71" spans="1:74" ht="15" customHeight="1" x14ac:dyDescent="0.2">
      <c r="A71" s="209"/>
      <c r="B71" s="138" t="s">
        <v>3</v>
      </c>
      <c r="C71" s="28"/>
      <c r="D71" s="20"/>
      <c r="E71" s="20"/>
      <c r="F71" s="20"/>
      <c r="G71" s="20"/>
      <c r="H71" s="20"/>
      <c r="I71" s="20"/>
      <c r="J71" s="18"/>
      <c r="K71" s="185"/>
      <c r="L71" s="191"/>
      <c r="M71" s="28"/>
      <c r="N71" s="20"/>
      <c r="O71" s="20"/>
      <c r="P71" s="20"/>
      <c r="Q71" s="20"/>
      <c r="R71" s="20"/>
      <c r="S71" s="20"/>
      <c r="T71" s="18"/>
      <c r="U71" s="185"/>
      <c r="V71" s="191"/>
      <c r="W71" s="28"/>
      <c r="X71" s="20"/>
      <c r="Y71" s="20"/>
      <c r="Z71" s="20"/>
      <c r="AA71" s="20"/>
      <c r="AB71" s="20"/>
      <c r="AC71" s="20"/>
      <c r="AD71" s="18"/>
      <c r="AE71" s="185"/>
      <c r="AF71" s="191"/>
      <c r="AG71" s="28"/>
      <c r="AH71" s="20"/>
      <c r="AI71" s="20"/>
      <c r="AJ71" s="20"/>
      <c r="AK71" s="20"/>
      <c r="AL71" s="20"/>
      <c r="AM71" s="20"/>
      <c r="AN71" s="18"/>
      <c r="AO71" s="185"/>
      <c r="AP71" s="191"/>
      <c r="AQ71" s="28"/>
      <c r="AR71" s="20"/>
      <c r="AS71" s="20"/>
      <c r="AT71" s="20"/>
      <c r="AU71" s="20"/>
      <c r="AV71" s="20"/>
      <c r="AW71" s="20"/>
      <c r="AX71" s="18"/>
      <c r="AY71" s="185"/>
      <c r="AZ71" s="191"/>
      <c r="BA71" s="28"/>
      <c r="BB71" s="20"/>
      <c r="BC71" s="20"/>
      <c r="BD71" s="20"/>
      <c r="BE71" s="20"/>
      <c r="BF71" s="20"/>
      <c r="BG71" s="20"/>
      <c r="BH71" s="18"/>
      <c r="BI71" s="185"/>
      <c r="BJ71" s="191"/>
      <c r="BK71" s="28"/>
      <c r="BL71" s="20"/>
      <c r="BM71" s="20"/>
      <c r="BN71" s="20"/>
      <c r="BO71" s="20"/>
      <c r="BP71" s="20"/>
      <c r="BQ71" s="20"/>
      <c r="BR71" s="18"/>
      <c r="BS71" s="185"/>
      <c r="BT71" s="191"/>
      <c r="BU71" s="1"/>
      <c r="BV71" s="1"/>
    </row>
    <row r="72" spans="1:74" ht="15" customHeight="1" x14ac:dyDescent="0.2">
      <c r="A72" s="209"/>
      <c r="B72" s="138" t="s">
        <v>4</v>
      </c>
      <c r="C72" s="28"/>
      <c r="D72" s="20"/>
      <c r="E72" s="20"/>
      <c r="F72" s="20"/>
      <c r="G72" s="20"/>
      <c r="H72" s="20"/>
      <c r="I72" s="20"/>
      <c r="J72" s="18"/>
      <c r="K72" s="185"/>
      <c r="L72" s="191"/>
      <c r="M72" s="28"/>
      <c r="N72" s="20"/>
      <c r="O72" s="20"/>
      <c r="P72" s="20"/>
      <c r="Q72" s="20"/>
      <c r="R72" s="20"/>
      <c r="S72" s="20"/>
      <c r="T72" s="18"/>
      <c r="U72" s="185"/>
      <c r="V72" s="191"/>
      <c r="W72" s="28"/>
      <c r="X72" s="20"/>
      <c r="Y72" s="20"/>
      <c r="Z72" s="20"/>
      <c r="AA72" s="20"/>
      <c r="AB72" s="20"/>
      <c r="AC72" s="20"/>
      <c r="AD72" s="18"/>
      <c r="AE72" s="185"/>
      <c r="AF72" s="191"/>
      <c r="AG72" s="28"/>
      <c r="AH72" s="20"/>
      <c r="AI72" s="20"/>
      <c r="AJ72" s="20"/>
      <c r="AK72" s="20"/>
      <c r="AL72" s="20"/>
      <c r="AM72" s="20"/>
      <c r="AN72" s="18"/>
      <c r="AO72" s="185"/>
      <c r="AP72" s="191"/>
      <c r="AQ72" s="28"/>
      <c r="AR72" s="20"/>
      <c r="AS72" s="20"/>
      <c r="AT72" s="20"/>
      <c r="AU72" s="20"/>
      <c r="AV72" s="20"/>
      <c r="AW72" s="20"/>
      <c r="AX72" s="18"/>
      <c r="AY72" s="185"/>
      <c r="AZ72" s="191"/>
      <c r="BA72" s="28"/>
      <c r="BB72" s="20"/>
      <c r="BC72" s="20"/>
      <c r="BD72" s="20"/>
      <c r="BE72" s="20"/>
      <c r="BF72" s="20"/>
      <c r="BG72" s="20"/>
      <c r="BH72" s="18"/>
      <c r="BI72" s="185"/>
      <c r="BJ72" s="191"/>
      <c r="BK72" s="28"/>
      <c r="BL72" s="20"/>
      <c r="BM72" s="20"/>
      <c r="BN72" s="20"/>
      <c r="BO72" s="20"/>
      <c r="BP72" s="20"/>
      <c r="BQ72" s="20"/>
      <c r="BR72" s="18"/>
      <c r="BS72" s="185"/>
      <c r="BT72" s="191"/>
      <c r="BU72" s="1"/>
      <c r="BV72" s="1"/>
    </row>
    <row r="73" spans="1:74" ht="15" customHeight="1" x14ac:dyDescent="0.2">
      <c r="A73" s="209"/>
      <c r="B73" s="138" t="s">
        <v>5</v>
      </c>
      <c r="C73" s="28"/>
      <c r="D73" s="20"/>
      <c r="E73" s="20"/>
      <c r="F73" s="20"/>
      <c r="G73" s="20"/>
      <c r="H73" s="22"/>
      <c r="I73" s="20"/>
      <c r="J73" s="18"/>
      <c r="K73" s="185"/>
      <c r="L73" s="191"/>
      <c r="M73" s="28"/>
      <c r="N73" s="20"/>
      <c r="O73" s="20"/>
      <c r="P73" s="20"/>
      <c r="Q73" s="20"/>
      <c r="R73" s="22"/>
      <c r="S73" s="20"/>
      <c r="T73" s="18"/>
      <c r="U73" s="185"/>
      <c r="V73" s="191"/>
      <c r="W73" s="28"/>
      <c r="X73" s="20"/>
      <c r="Y73" s="20"/>
      <c r="Z73" s="20"/>
      <c r="AA73" s="20"/>
      <c r="AB73" s="22"/>
      <c r="AC73" s="20"/>
      <c r="AD73" s="18"/>
      <c r="AE73" s="185"/>
      <c r="AF73" s="191"/>
      <c r="AG73" s="28"/>
      <c r="AH73" s="20"/>
      <c r="AI73" s="20"/>
      <c r="AJ73" s="20"/>
      <c r="AK73" s="20"/>
      <c r="AL73" s="22"/>
      <c r="AM73" s="20"/>
      <c r="AN73" s="18"/>
      <c r="AO73" s="185"/>
      <c r="AP73" s="191"/>
      <c r="AQ73" s="28"/>
      <c r="AR73" s="20"/>
      <c r="AS73" s="20"/>
      <c r="AT73" s="20"/>
      <c r="AU73" s="20"/>
      <c r="AV73" s="22"/>
      <c r="AW73" s="20"/>
      <c r="AX73" s="18"/>
      <c r="AY73" s="185"/>
      <c r="AZ73" s="191"/>
      <c r="BA73" s="28"/>
      <c r="BB73" s="20"/>
      <c r="BC73" s="20"/>
      <c r="BD73" s="20"/>
      <c r="BE73" s="20"/>
      <c r="BF73" s="22"/>
      <c r="BG73" s="20"/>
      <c r="BH73" s="18"/>
      <c r="BI73" s="185"/>
      <c r="BJ73" s="191"/>
      <c r="BK73" s="28"/>
      <c r="BL73" s="20"/>
      <c r="BM73" s="20"/>
      <c r="BN73" s="20"/>
      <c r="BO73" s="20"/>
      <c r="BP73" s="22"/>
      <c r="BQ73" s="20"/>
      <c r="BR73" s="18"/>
      <c r="BS73" s="185"/>
      <c r="BT73" s="191"/>
      <c r="BU73" s="1"/>
      <c r="BV73" s="1"/>
    </row>
    <row r="74" spans="1:74" ht="15" customHeight="1" x14ac:dyDescent="0.2">
      <c r="A74" s="209"/>
      <c r="B74" s="138" t="s">
        <v>6</v>
      </c>
      <c r="C74" s="28"/>
      <c r="D74" s="20"/>
      <c r="E74" s="20"/>
      <c r="F74" s="20"/>
      <c r="G74" s="20"/>
      <c r="H74" s="22"/>
      <c r="I74" s="20"/>
      <c r="J74" s="18"/>
      <c r="K74" s="185"/>
      <c r="L74" s="191"/>
      <c r="M74" s="28"/>
      <c r="N74" s="20"/>
      <c r="O74" s="20"/>
      <c r="P74" s="20"/>
      <c r="Q74" s="20"/>
      <c r="R74" s="22"/>
      <c r="S74" s="20"/>
      <c r="T74" s="18"/>
      <c r="U74" s="185"/>
      <c r="V74" s="191"/>
      <c r="W74" s="28"/>
      <c r="X74" s="20"/>
      <c r="Y74" s="20"/>
      <c r="Z74" s="20"/>
      <c r="AA74" s="20"/>
      <c r="AB74" s="22"/>
      <c r="AC74" s="20"/>
      <c r="AD74" s="18"/>
      <c r="AE74" s="185"/>
      <c r="AF74" s="191"/>
      <c r="AG74" s="28"/>
      <c r="AH74" s="20"/>
      <c r="AI74" s="20"/>
      <c r="AJ74" s="20"/>
      <c r="AK74" s="20"/>
      <c r="AL74" s="22"/>
      <c r="AM74" s="20"/>
      <c r="AN74" s="18"/>
      <c r="AO74" s="185"/>
      <c r="AP74" s="191"/>
      <c r="AQ74" s="28"/>
      <c r="AR74" s="20"/>
      <c r="AS74" s="20"/>
      <c r="AT74" s="20"/>
      <c r="AU74" s="20"/>
      <c r="AV74" s="22"/>
      <c r="AW74" s="20"/>
      <c r="AX74" s="18"/>
      <c r="AY74" s="185"/>
      <c r="AZ74" s="191"/>
      <c r="BA74" s="28"/>
      <c r="BB74" s="20"/>
      <c r="BC74" s="20"/>
      <c r="BD74" s="20"/>
      <c r="BE74" s="20"/>
      <c r="BF74" s="22"/>
      <c r="BG74" s="20"/>
      <c r="BH74" s="18"/>
      <c r="BI74" s="185"/>
      <c r="BJ74" s="191"/>
      <c r="BK74" s="28"/>
      <c r="BL74" s="20"/>
      <c r="BM74" s="20"/>
      <c r="BN74" s="20"/>
      <c r="BO74" s="20"/>
      <c r="BP74" s="22"/>
      <c r="BQ74" s="20"/>
      <c r="BR74" s="18"/>
      <c r="BS74" s="185"/>
      <c r="BT74" s="191"/>
      <c r="BU74" s="1"/>
      <c r="BV74" s="1"/>
    </row>
    <row r="75" spans="1:74" ht="15" customHeight="1" x14ac:dyDescent="0.2">
      <c r="A75" s="209"/>
      <c r="B75" s="138" t="s">
        <v>7</v>
      </c>
      <c r="C75" s="28"/>
      <c r="D75" s="20"/>
      <c r="E75" s="20"/>
      <c r="F75" s="20"/>
      <c r="G75" s="20"/>
      <c r="H75" s="22"/>
      <c r="I75" s="20"/>
      <c r="J75" s="18"/>
      <c r="K75" s="185"/>
      <c r="L75" s="191"/>
      <c r="M75" s="28"/>
      <c r="N75" s="20"/>
      <c r="O75" s="20"/>
      <c r="P75" s="20"/>
      <c r="Q75" s="20"/>
      <c r="R75" s="22"/>
      <c r="S75" s="20"/>
      <c r="T75" s="18"/>
      <c r="U75" s="185"/>
      <c r="V75" s="191"/>
      <c r="W75" s="28"/>
      <c r="X75" s="20"/>
      <c r="Y75" s="20"/>
      <c r="Z75" s="20"/>
      <c r="AA75" s="20"/>
      <c r="AB75" s="22"/>
      <c r="AC75" s="20"/>
      <c r="AD75" s="18"/>
      <c r="AE75" s="185"/>
      <c r="AF75" s="191"/>
      <c r="AG75" s="28"/>
      <c r="AH75" s="20"/>
      <c r="AI75" s="20"/>
      <c r="AJ75" s="20"/>
      <c r="AK75" s="20"/>
      <c r="AL75" s="22"/>
      <c r="AM75" s="20"/>
      <c r="AN75" s="18"/>
      <c r="AO75" s="185"/>
      <c r="AP75" s="191"/>
      <c r="AQ75" s="28"/>
      <c r="AR75" s="20"/>
      <c r="AS75" s="20"/>
      <c r="AT75" s="20"/>
      <c r="AU75" s="20"/>
      <c r="AV75" s="22"/>
      <c r="AW75" s="20"/>
      <c r="AX75" s="18"/>
      <c r="AY75" s="185"/>
      <c r="AZ75" s="191"/>
      <c r="BA75" s="28"/>
      <c r="BB75" s="20"/>
      <c r="BC75" s="20"/>
      <c r="BD75" s="20"/>
      <c r="BE75" s="20"/>
      <c r="BF75" s="22"/>
      <c r="BG75" s="20"/>
      <c r="BH75" s="18"/>
      <c r="BI75" s="185"/>
      <c r="BJ75" s="191"/>
      <c r="BK75" s="28"/>
      <c r="BL75" s="20"/>
      <c r="BM75" s="20"/>
      <c r="BN75" s="20"/>
      <c r="BO75" s="20"/>
      <c r="BP75" s="22"/>
      <c r="BQ75" s="20"/>
      <c r="BR75" s="18"/>
      <c r="BS75" s="185"/>
      <c r="BT75" s="191"/>
      <c r="BU75" s="1"/>
      <c r="BV75" s="1"/>
    </row>
    <row r="76" spans="1:74" ht="15" customHeight="1" x14ac:dyDescent="0.2">
      <c r="A76" s="209"/>
      <c r="B76" s="138" t="s">
        <v>8</v>
      </c>
      <c r="C76" s="27"/>
      <c r="D76" s="20"/>
      <c r="E76" s="20"/>
      <c r="F76" s="21"/>
      <c r="G76" s="20"/>
      <c r="H76" s="20"/>
      <c r="I76" s="20"/>
      <c r="J76" s="19"/>
      <c r="K76" s="185"/>
      <c r="L76" s="191"/>
      <c r="M76" s="27"/>
      <c r="N76" s="20"/>
      <c r="O76" s="20"/>
      <c r="P76" s="21"/>
      <c r="Q76" s="20"/>
      <c r="R76" s="20"/>
      <c r="S76" s="20"/>
      <c r="T76" s="19"/>
      <c r="U76" s="185"/>
      <c r="V76" s="191"/>
      <c r="W76" s="27"/>
      <c r="X76" s="20"/>
      <c r="Y76" s="20"/>
      <c r="Z76" s="21"/>
      <c r="AA76" s="20"/>
      <c r="AB76" s="20"/>
      <c r="AC76" s="20"/>
      <c r="AD76" s="19"/>
      <c r="AE76" s="185"/>
      <c r="AF76" s="191"/>
      <c r="AG76" s="27"/>
      <c r="AH76" s="20"/>
      <c r="AI76" s="20"/>
      <c r="AJ76" s="21"/>
      <c r="AK76" s="20"/>
      <c r="AL76" s="20"/>
      <c r="AM76" s="20"/>
      <c r="AN76" s="19"/>
      <c r="AO76" s="185"/>
      <c r="AP76" s="191"/>
      <c r="AQ76" s="27"/>
      <c r="AR76" s="20"/>
      <c r="AS76" s="20"/>
      <c r="AT76" s="21"/>
      <c r="AU76" s="20"/>
      <c r="AV76" s="20"/>
      <c r="AW76" s="20"/>
      <c r="AX76" s="19"/>
      <c r="AY76" s="185"/>
      <c r="AZ76" s="191"/>
      <c r="BA76" s="27"/>
      <c r="BB76" s="20"/>
      <c r="BC76" s="20"/>
      <c r="BD76" s="21"/>
      <c r="BE76" s="20"/>
      <c r="BF76" s="20"/>
      <c r="BG76" s="20"/>
      <c r="BH76" s="19"/>
      <c r="BI76" s="185"/>
      <c r="BJ76" s="191"/>
      <c r="BK76" s="27"/>
      <c r="BL76" s="20"/>
      <c r="BM76" s="20"/>
      <c r="BN76" s="21"/>
      <c r="BO76" s="20"/>
      <c r="BP76" s="20"/>
      <c r="BQ76" s="20"/>
      <c r="BR76" s="19"/>
      <c r="BS76" s="185"/>
      <c r="BT76" s="191"/>
      <c r="BU76" s="1"/>
      <c r="BV76" s="1"/>
    </row>
    <row r="77" spans="1:74" ht="15" customHeight="1" x14ac:dyDescent="0.2">
      <c r="A77" s="209"/>
      <c r="B77" s="138" t="s">
        <v>9</v>
      </c>
      <c r="C77" s="28"/>
      <c r="D77" s="20"/>
      <c r="E77" s="20"/>
      <c r="F77" s="20"/>
      <c r="G77" s="20"/>
      <c r="H77" s="20"/>
      <c r="I77" s="20"/>
      <c r="J77" s="18"/>
      <c r="K77" s="185"/>
      <c r="L77" s="191"/>
      <c r="M77" s="20"/>
      <c r="N77" s="20"/>
      <c r="O77" s="20"/>
      <c r="P77" s="20"/>
      <c r="Q77" s="20"/>
      <c r="R77" s="20"/>
      <c r="S77" s="20"/>
      <c r="T77" s="18"/>
      <c r="U77" s="185"/>
      <c r="V77" s="191"/>
      <c r="W77" s="28"/>
      <c r="X77" s="20"/>
      <c r="Y77" s="20"/>
      <c r="Z77" s="20"/>
      <c r="AA77" s="20"/>
      <c r="AB77" s="20"/>
      <c r="AC77" s="20"/>
      <c r="AD77" s="18"/>
      <c r="AE77" s="185"/>
      <c r="AF77" s="191"/>
      <c r="AG77" s="20"/>
      <c r="AH77" s="20"/>
      <c r="AI77" s="20"/>
      <c r="AJ77" s="20"/>
      <c r="AK77" s="20"/>
      <c r="AL77" s="20"/>
      <c r="AM77" s="20"/>
      <c r="AN77" s="18"/>
      <c r="AO77" s="185"/>
      <c r="AP77" s="191"/>
      <c r="AQ77" s="28"/>
      <c r="AR77" s="20"/>
      <c r="AS77" s="20"/>
      <c r="AT77" s="20"/>
      <c r="AU77" s="20"/>
      <c r="AV77" s="20"/>
      <c r="AW77" s="20"/>
      <c r="AX77" s="18"/>
      <c r="AY77" s="185"/>
      <c r="AZ77" s="191"/>
      <c r="BA77" s="20"/>
      <c r="BB77" s="20"/>
      <c r="BC77" s="20"/>
      <c r="BD77" s="20"/>
      <c r="BE77" s="20"/>
      <c r="BF77" s="20"/>
      <c r="BG77" s="20"/>
      <c r="BH77" s="18"/>
      <c r="BI77" s="185"/>
      <c r="BJ77" s="191"/>
      <c r="BK77" s="20"/>
      <c r="BL77" s="20"/>
      <c r="BM77" s="20"/>
      <c r="BN77" s="20"/>
      <c r="BO77" s="20"/>
      <c r="BP77" s="20"/>
      <c r="BQ77" s="20"/>
      <c r="BR77" s="18"/>
      <c r="BS77" s="185"/>
      <c r="BT77" s="191"/>
      <c r="BU77" s="1"/>
      <c r="BV77" s="1"/>
    </row>
    <row r="78" spans="1:74" ht="15" customHeight="1" x14ac:dyDescent="0.2">
      <c r="A78" s="209"/>
      <c r="B78" s="139" t="s">
        <v>10</v>
      </c>
      <c r="C78" s="181">
        <f>IF(Configuração!R10=EscalaLinear!BY5,10,IF(Configuração!R10=BY6,9,IF(Configuração!R10=BY7,8,IF(Configuração!R10=BY8,7,IF(Configuração!R10=BY9,6,IF(Configuração!R10=BY10,5,IF(Configuração!R10=BY11,4,IF(Configuração!R10=BY12,3,IF(Configuração!R10=BY13,2,IF(Configuração!R10=BY14,1,""))))))))))</f>
        <v>1</v>
      </c>
      <c r="D78" s="184" t="str">
        <f>IF(Configuração!R11=EscalaLinear!BY5,10,IF(Configuração!R11=BY6,9,IF(Configuração!R11=BY7,8,IF(Configuração!R11=BY8,7,IF(Configuração!R11=BY9,6,IF(Configuração!R11=BY10,5,IF(Configuração!R11=BY11,4,IF(Configuração!R11=BY12,3,IF(Configuração!R11=BY13,2,IF(Configuração!R11=BY14,1,""))))))))))</f>
        <v/>
      </c>
      <c r="E78" s="20"/>
      <c r="F78" s="20"/>
      <c r="G78" s="20"/>
      <c r="H78" s="20"/>
      <c r="I78" s="20"/>
      <c r="J78" s="18"/>
      <c r="K78" s="185"/>
      <c r="L78" s="191"/>
      <c r="M78" s="181">
        <f>IF(Configuração!S10=EscalaLinear!BY5,10,IF(Configuração!S10=BY6,9,IF(Configuração!S10=BY7,8,IF(Configuração!S10=BY8,7,IF(Configuração!S10=BY9,6,IF(Configuração!S10=BY10,5,IF(Configuração!S10=BY11,4,IF(Configuração!S10=BY12,3,IF(Configuração!S10=BY13,2,IF(Configuração!S10=BY14,1,""))))))))))</f>
        <v>1</v>
      </c>
      <c r="N78" s="184" t="str">
        <f>IF(Configuração!S11=EscalaLinear!BY5,10,IF(Configuração!S11=BY6,9,IF(Configuração!S11=BY7,8,IF(Configuração!S11=BY8,7,IF(Configuração!S11=BY9,6,IF(Configuração!S11=BY10,5,IF(Configuração!S11=BY11,4,IF(Configuração!S11=BY12,3,IF(Configuração!S11=BY13,2,IF(Configuração!S11=BY14,1,""))))))))))</f>
        <v/>
      </c>
      <c r="O78" s="20"/>
      <c r="P78" s="20"/>
      <c r="Q78" s="20"/>
      <c r="R78" s="20"/>
      <c r="S78" s="20"/>
      <c r="T78" s="18"/>
      <c r="U78" s="185"/>
      <c r="V78" s="191"/>
      <c r="W78" s="181">
        <f>IF(Configuração!T10=EscalaLinear!BY5,10,IF(Configuração!T10=BY6,9,IF(Configuração!T10=BY7,8,IF(Configuração!T10=BY8,7,IF(Configuração!T10=BY9,6,IF(Configuração!T10=BY10,5,IF(Configuração!T10=BY11,4,IF(Configuração!T10=BY12,3,IF(Configuração!T10=BY13,2,IF(Configuração!T10=BY14,1,""))))))))))</f>
        <v>1</v>
      </c>
      <c r="X78" s="184" t="str">
        <f>IF(Configuração!T11=EscalaLinear!BY5,10,IF(Configuração!T11=BY6,9,IF(Configuração!T11=BY7,8,IF(Configuração!T11=BY8,7,IF(Configuração!T11=BY9,6,IF(Configuração!T11=BY10,5,IF(Configuração!T11=BY11,4,IF(Configuração!T11=BY12,3,IF(Configuração!T11=BY13,2,IF(Configuração!T11=BY14,1,""))))))))))</f>
        <v/>
      </c>
      <c r="Y78" s="20"/>
      <c r="Z78" s="20"/>
      <c r="AA78" s="20"/>
      <c r="AB78" s="20"/>
      <c r="AC78" s="20"/>
      <c r="AD78" s="18"/>
      <c r="AE78" s="185"/>
      <c r="AF78" s="191"/>
      <c r="AG78" s="181">
        <f>IF(Configuração!U10=EscalaLinear!BY5,10,IF(Configuração!U10=BY6,9,IF(Configuração!U10=BY7,8,IF(Configuração!U10=BY8,7,IF(Configuração!U10=BY9,6,IF(Configuração!U10=BY10,5,IF(Configuração!U10=BY11,4,IF(Configuração!U10=BY12,3,IF(Configuração!U10=BY13,2,IF(Configuração!U10=BY14,1,""))))))))))</f>
        <v>1</v>
      </c>
      <c r="AH78" s="184" t="str">
        <f>IF(Configuração!U11=EscalaLinear!BY5,10,IF(Configuração!U11=BY6,9,IF(Configuração!U11=BY7,8,IF(Configuração!U11=BY8,7,IF(Configuração!U11=BY9,6,IF(Configuração!U11=BY10,5,IF(Configuração!U11=BY11,4,IF(Configuração!U11=BY12,3,IF(Configuração!U11=BY13,2,IF(Configuração!U11=BY14,1,""))))))))))</f>
        <v/>
      </c>
      <c r="AI78" s="20"/>
      <c r="AJ78" s="20"/>
      <c r="AK78" s="20"/>
      <c r="AL78" s="20"/>
      <c r="AM78" s="20"/>
      <c r="AN78" s="18"/>
      <c r="AO78" s="185"/>
      <c r="AP78" s="191"/>
      <c r="AQ78" s="181">
        <f>IF(Configuração!V10=EscalaLinear!BY5,10,IF(Configuração!V10=BY6,9,IF(Configuração!V10=BY7,8,IF(Configuração!V10=BY8,7,IF(Configuração!V10=BY9,6,IF(Configuração!V10=BY10,5,IF(Configuração!V10=BY11,4,IF(Configuração!V10=BY12,3,IF(Configuração!V10=BY13,2,IF(Configuração!V10=BY14,1,""))))))))))</f>
        <v>1</v>
      </c>
      <c r="AR78" s="184" t="str">
        <f>IF(Configuração!V11=EscalaLinear!BY5,10,IF(Configuração!V11=BY6,9,IF(Configuração!V11=BY7,8,IF(Configuração!V11=BY8,7,IF(Configuração!V11=BY9,6,IF(Configuração!V11=BY10,5,IF(Configuração!V11=BY11,4,IF(Configuração!V11=BY12,3,IF(Configuração!V11=BY13,2,IF(Configuração!V11=BY14,1,""))))))))))</f>
        <v/>
      </c>
      <c r="AS78" s="20"/>
      <c r="AT78" s="20"/>
      <c r="AU78" s="20"/>
      <c r="AV78" s="20"/>
      <c r="AW78" s="20"/>
      <c r="AX78" s="18"/>
      <c r="AY78" s="185"/>
      <c r="AZ78" s="191"/>
      <c r="BA78" s="181">
        <f>IF(Configuração!W10=EscalaLinear!BY5,10,IF(Configuração!W10=BY6,9,IF(Configuração!W10=BY7,8,IF(Configuração!W10=BY8,7,IF(Configuração!W10=BY9,6,IF(Configuração!W10=BY10,5,IF(Configuração!W10=BY11,4,IF(Configuração!W10=BY12,3,IF(Configuração!W10=BY13,2,IF(Configuração!W10=BY14,1,""))))))))))</f>
        <v>1</v>
      </c>
      <c r="BB78" s="184" t="str">
        <f>IF(Configuração!W11=EscalaLinear!BY5,10,IF(Configuração!W11=BY6,9,IF(Configuração!W11=BY7,8,IF(Configuração!W11=BY8,7,IF(Configuração!W11=BY9,6,IF(Configuração!W11=BY10,5,IF(Configuração!W11=BY11,4,IF(Configuração!W11=BY12,3,IF(Configuração!W11=BY13,2,IF(Configuração!W11=BY14,1,""))))))))))</f>
        <v/>
      </c>
      <c r="BC78" s="20"/>
      <c r="BD78" s="20"/>
      <c r="BE78" s="20"/>
      <c r="BF78" s="20"/>
      <c r="BG78" s="20"/>
      <c r="BH78" s="18"/>
      <c r="BI78" s="185"/>
      <c r="BJ78" s="191"/>
      <c r="BK78" s="181">
        <f>IF(Configuração!X10=EscalaLinear!BY5,10,IF(Configuração!X10=BY6,9,IF(Configuração!X10=BY7,8,IF(Configuração!X10=BY8,7,IF(Configuração!X10=BY9,6,IF(Configuração!X10=BY10,5,IF(Configuração!X10=BY11,4,IF(Configuração!X10=BY12,3,IF(Configuração!X10=BY13,2,IF(Configuração!X10=BY14,1,""))))))))))</f>
        <v>1</v>
      </c>
      <c r="BL78" s="184" t="str">
        <f>IF(Configuração!X11=EscalaLinear!BY5,10,IF(Configuração!X11=BY6,9,IF(Configuração!X11=BY7,8,IF(Configuração!X11=BY8,7,IF(Configuração!X11=BY9,6,IF(Configuração!X11=BY10,5,IF(Configuração!X11=BY11,4,IF(Configuração!X11=BY12,3,IF(Configuração!X11=BY13,2,IF(Configuração!X11=BY14,1,""))))))))))</f>
        <v/>
      </c>
      <c r="BM78" s="20"/>
      <c r="BN78" s="20"/>
      <c r="BO78" s="20"/>
      <c r="BP78" s="20"/>
      <c r="BQ78" s="20"/>
      <c r="BR78" s="18"/>
      <c r="BS78" s="185"/>
      <c r="BT78" s="191"/>
      <c r="BU78" s="1"/>
      <c r="BV78" s="1"/>
    </row>
    <row r="79" spans="1:74" ht="15" customHeight="1" x14ac:dyDescent="0.2">
      <c r="A79" s="209"/>
      <c r="B79" s="138" t="s">
        <v>76</v>
      </c>
      <c r="C79" s="182"/>
      <c r="D79" s="185"/>
      <c r="E79" s="20"/>
      <c r="F79" s="20"/>
      <c r="G79" s="20"/>
      <c r="H79" s="20"/>
      <c r="I79" s="20"/>
      <c r="J79" s="18"/>
      <c r="K79" s="186"/>
      <c r="L79" s="192"/>
      <c r="M79" s="182"/>
      <c r="N79" s="185"/>
      <c r="O79" s="20"/>
      <c r="P79" s="20"/>
      <c r="Q79" s="20"/>
      <c r="R79" s="20"/>
      <c r="S79" s="20"/>
      <c r="T79" s="18"/>
      <c r="U79" s="186"/>
      <c r="V79" s="192"/>
      <c r="W79" s="182"/>
      <c r="X79" s="185"/>
      <c r="Y79" s="20"/>
      <c r="Z79" s="20"/>
      <c r="AA79" s="20"/>
      <c r="AB79" s="20"/>
      <c r="AC79" s="20"/>
      <c r="AD79" s="18"/>
      <c r="AE79" s="186"/>
      <c r="AF79" s="192"/>
      <c r="AG79" s="182"/>
      <c r="AH79" s="185"/>
      <c r="AI79" s="20"/>
      <c r="AJ79" s="20"/>
      <c r="AK79" s="20"/>
      <c r="AL79" s="20"/>
      <c r="AM79" s="20"/>
      <c r="AN79" s="18"/>
      <c r="AO79" s="186"/>
      <c r="AP79" s="192"/>
      <c r="AQ79" s="182"/>
      <c r="AR79" s="185"/>
      <c r="AS79" s="20"/>
      <c r="AT79" s="20"/>
      <c r="AU79" s="20"/>
      <c r="AV79" s="20"/>
      <c r="AW79" s="20"/>
      <c r="AX79" s="18"/>
      <c r="AY79" s="186"/>
      <c r="AZ79" s="192"/>
      <c r="BA79" s="182"/>
      <c r="BB79" s="185"/>
      <c r="BC79" s="20"/>
      <c r="BD79" s="20"/>
      <c r="BE79" s="20"/>
      <c r="BF79" s="20"/>
      <c r="BG79" s="20"/>
      <c r="BH79" s="18"/>
      <c r="BI79" s="186"/>
      <c r="BJ79" s="192"/>
      <c r="BK79" s="182"/>
      <c r="BL79" s="185"/>
      <c r="BM79" s="20"/>
      <c r="BN79" s="20"/>
      <c r="BO79" s="20"/>
      <c r="BP79" s="20"/>
      <c r="BQ79" s="20"/>
      <c r="BR79" s="18"/>
      <c r="BS79" s="186"/>
      <c r="BT79" s="192"/>
      <c r="BU79" s="1"/>
      <c r="BV79" s="1"/>
    </row>
    <row r="80" spans="1:74" ht="15" customHeight="1" x14ac:dyDescent="0.2">
      <c r="A80" s="209"/>
      <c r="B80" s="138" t="s">
        <v>11</v>
      </c>
      <c r="C80" s="182"/>
      <c r="D80" s="185"/>
      <c r="E80" s="151"/>
      <c r="G80" s="20"/>
      <c r="H80" s="20"/>
      <c r="I80" s="20"/>
      <c r="J80" s="18"/>
      <c r="K80" s="20"/>
      <c r="L80" s="25"/>
      <c r="M80" s="182"/>
      <c r="N80" s="185"/>
      <c r="O80" s="20"/>
      <c r="Q80" s="20"/>
      <c r="R80" s="20"/>
      <c r="S80" s="20"/>
      <c r="T80" s="18"/>
      <c r="U80" s="20"/>
      <c r="V80" s="25"/>
      <c r="W80" s="182"/>
      <c r="X80" s="185"/>
      <c r="Y80" s="151"/>
      <c r="AA80" s="20"/>
      <c r="AB80" s="20"/>
      <c r="AC80" s="20"/>
      <c r="AD80" s="18"/>
      <c r="AE80" s="20"/>
      <c r="AF80" s="25"/>
      <c r="AG80" s="182"/>
      <c r="AH80" s="185"/>
      <c r="AI80" s="20"/>
      <c r="AK80" s="20"/>
      <c r="AL80" s="20"/>
      <c r="AM80" s="20"/>
      <c r="AN80" s="18"/>
      <c r="AO80" s="20"/>
      <c r="AP80" s="25"/>
      <c r="AQ80" s="182"/>
      <c r="AR80" s="185"/>
      <c r="AS80" s="151"/>
      <c r="AU80" s="20"/>
      <c r="AV80" s="20"/>
      <c r="AW80" s="20"/>
      <c r="AX80" s="18"/>
      <c r="AY80" s="20"/>
      <c r="AZ80" s="25"/>
      <c r="BA80" s="182"/>
      <c r="BB80" s="185"/>
      <c r="BC80" s="20"/>
      <c r="BE80" s="20"/>
      <c r="BF80" s="20"/>
      <c r="BG80" s="20"/>
      <c r="BH80" s="18"/>
      <c r="BI80" s="20"/>
      <c r="BJ80" s="25"/>
      <c r="BK80" s="182"/>
      <c r="BL80" s="185"/>
      <c r="BM80" s="20"/>
      <c r="BO80" s="20"/>
      <c r="BP80" s="20"/>
      <c r="BQ80" s="20"/>
      <c r="BR80" s="18"/>
      <c r="BS80" s="20"/>
      <c r="BT80" s="25"/>
      <c r="BU80" s="1"/>
      <c r="BV80" s="1"/>
    </row>
    <row r="81" spans="1:74" ht="15" customHeight="1" x14ac:dyDescent="0.2">
      <c r="A81" s="209"/>
      <c r="B81" s="139" t="s">
        <v>12</v>
      </c>
      <c r="C81" s="182"/>
      <c r="D81" s="185"/>
      <c r="E81" s="184" t="str">
        <f>IF(Configuração!R12=EscalaLinear!BY5,10,IF(Configuração!R12=BY6,9,IF(Configuração!R12=BY7,8,IF(Configuração!R12=BY8,7,IF(Configuração!R12=BY9,6,IF(Configuração!R12=BY10,5,IF(Configuração!R12=BY11,4,IF(Configuração!R12=BY12,3,IF(Configuração!R12=BY13,2,IF(Configuração!R12=BY14,1,""))))))))))</f>
        <v/>
      </c>
      <c r="F81" s="184" t="str">
        <f>IF(Configuração!R13=EscalaLinear!BY5,10,IF(Configuração!R13=BY6,9,IF(Configuração!R13=BY7,8,IF(Configuração!R13=BY8,7,IF(Configuração!R13=BY9,6,IF(Configuração!R13=BY10,5,IF(Configuração!R13=BY11,4,IF(Configuração!R13=BY12,3,IF(Configuração!R13=BY13,2,IF(Configuração!R13=BY14,1,""))))))))))</f>
        <v/>
      </c>
      <c r="G81" s="22"/>
      <c r="H81" s="22"/>
      <c r="I81" s="20"/>
      <c r="J81" s="18"/>
      <c r="K81" s="20"/>
      <c r="L81" s="25"/>
      <c r="M81" s="182"/>
      <c r="N81" s="185"/>
      <c r="O81" s="184" t="str">
        <f>IF(Configuração!S12=EscalaLinear!BY5,10,IF(Configuração!S12=BY6,9,IF(Configuração!S12=BY7,8,IF(Configuração!S12=BY8,7,IF(Configuração!S12=BY9,6,IF(Configuração!S12=BY10,5,IF(Configuração!S12=BY11,4,IF(Configuração!S12=BY12,3,IF(Configuração!S12=BY13,2,IF(Configuração!S12=BY14,1,""))))))))))</f>
        <v/>
      </c>
      <c r="P81" s="184" t="str">
        <f>IF(Configuração!S13=EscalaLinear!BY5,10,IF(Configuração!S13=BY6,9,IF(Configuração!S13=BY7,8,IF(Configuração!S13=BY8,7,IF(Configuração!S13=BY9,6,IF(Configuração!S13=BY10,5,IF(Configuração!S13=BY11,4,IF(Configuração!S13=BY12,3,IF(Configuração!S13=BY13,2,IF(Configuração!S13=BY14,1,""))))))))))</f>
        <v/>
      </c>
      <c r="Q81" s="22"/>
      <c r="R81" s="22"/>
      <c r="S81" s="20"/>
      <c r="T81" s="18"/>
      <c r="U81" s="20"/>
      <c r="V81" s="25"/>
      <c r="W81" s="182"/>
      <c r="X81" s="185"/>
      <c r="Y81" s="184" t="str">
        <f>IF(Configuração!T12=EscalaLinear!BY5,10,IF(Configuração!T12=BY6,9,IF(Configuração!T12=BY7,8,IF(Configuração!T12=BY8,7,IF(Configuração!T12=BY9,6,IF(Configuração!T12=BY10,5,IF(Configuração!T12=BY11,4,IF(Configuração!T12=BY12,3,IF(Configuração!T12=BY13,2,IF(Configuração!T12=BY14,1,""))))))))))</f>
        <v/>
      </c>
      <c r="Z81" s="184" t="str">
        <f>IF(Configuração!T13=EscalaLinear!BY5,10,IF(Configuração!T13=BY6,9,IF(Configuração!T13=BY7,8,IF(Configuração!T13=BY8,7,IF(Configuração!T13=BY9,6,IF(Configuração!T13=BY10,5,IF(Configuração!T13=BY11,4,IF(Configuração!T13=BY12,3,IF(Configuração!T13=BY13,2,IF(Configuração!T13=BY14,1,""))))))))))</f>
        <v/>
      </c>
      <c r="AA81" s="22"/>
      <c r="AB81" s="22"/>
      <c r="AC81" s="20"/>
      <c r="AD81" s="18"/>
      <c r="AE81" s="20"/>
      <c r="AF81" s="25"/>
      <c r="AG81" s="182"/>
      <c r="AH81" s="185"/>
      <c r="AI81" s="184" t="str">
        <f>IF(Configuração!U12=EscalaLinear!BY5,10,IF(Configuração!U12=BY6,9,IF(Configuração!U12=BY7,8,IF(Configuração!U12=BY8,7,IF(Configuração!U12=BY9,6,IF(Configuração!U12=BY10,5,IF(Configuração!U12=BY11,4,IF(Configuração!U12=BY12,3,IF(Configuração!U12=BY13,2,IF(Configuração!U12=BY14,1,""))))))))))</f>
        <v/>
      </c>
      <c r="AJ81" s="184" t="str">
        <f>IF(Configuração!U13=EscalaLinear!BY5,10,IF(Configuração!U13=BY6,9,IF(Configuração!U13=BY7,8,IF(Configuração!U13=BY8,7,IF(Configuração!U13=BY9,6,IF(Configuração!U13=BY10,5,IF(Configuração!U13=BY11,4,IF(Configuração!U13=BY12,3,IF(Configuração!U13=BY13,2,IF(Configuração!U13=BY14,1,""))))))))))</f>
        <v/>
      </c>
      <c r="AK81" s="22"/>
      <c r="AL81" s="22"/>
      <c r="AM81" s="20"/>
      <c r="AN81" s="18"/>
      <c r="AO81" s="20"/>
      <c r="AP81" s="25"/>
      <c r="AQ81" s="182"/>
      <c r="AR81" s="185"/>
      <c r="AS81" s="184" t="str">
        <f>IF(Configuração!V12=EscalaLinear!BY5,10,IF(Configuração!V12=BY6,9,IF(Configuração!V12=BY7,8,IF(Configuração!V12=BY8,7,IF(Configuração!V12=BY9,6,IF(Configuração!V12=BY10,5,IF(Configuração!V12=BY11,4,IF(Configuração!V12=BY12,3,IF(Configuração!V12=BY13,2,IF(Configuração!V12=BY14,1,""))))))))))</f>
        <v/>
      </c>
      <c r="AT81" s="184" t="str">
        <f>IF(Configuração!V13=EscalaLinear!BY5,10,IF(Configuração!V13=BY6,9,IF(Configuração!V13=BY7,8,IF(Configuração!V13=BY8,7,IF(Configuração!V13=BY9,6,IF(Configuração!V13=BY10,5,IF(Configuração!V13=BY11,4,IF(Configuração!V13=BY12,3,IF(Configuração!V13=BY13,2,IF(Configuração!V13=BY14,1,""))))))))))</f>
        <v/>
      </c>
      <c r="AU81" s="22"/>
      <c r="AV81" s="22"/>
      <c r="AW81" s="20"/>
      <c r="AX81" s="18"/>
      <c r="AY81" s="20"/>
      <c r="AZ81" s="25"/>
      <c r="BA81" s="182"/>
      <c r="BB81" s="185"/>
      <c r="BC81" s="184" t="str">
        <f>IF(Configuração!W12=EscalaLinear!BY5,10,IF(Configuração!W12=BY6,9,IF(Configuração!W12=BY7,8,IF(Configuração!W12=BY8,7,IF(Configuração!W12=BY9,6,IF(Configuração!W12=BY10,5,IF(Configuração!W12=BY11,4,IF(Configuração!W12=BY12,3,IF(Configuração!W12=BY13,2,IF(Configuração!W12=BY14,1,""))))))))))</f>
        <v/>
      </c>
      <c r="BD81" s="184" t="str">
        <f>IF(Configuração!W13=EscalaLinear!BY5,10,IF(Configuração!W13=BY6,9,IF(Configuração!W13=BY7,8,IF(Configuração!W13=BY8,7,IF(Configuração!W13=BY9,6,IF(Configuração!W13=BY10,5,IF(Configuração!W13=BY11,4,IF(Configuração!W13=BY12,3,IF(Configuração!W13=BY13,2,IF(Configuração!W13=BY14,1,""))))))))))</f>
        <v/>
      </c>
      <c r="BE81" s="22"/>
      <c r="BF81" s="22"/>
      <c r="BG81" s="20"/>
      <c r="BH81" s="18"/>
      <c r="BI81" s="20"/>
      <c r="BJ81" s="25"/>
      <c r="BK81" s="182"/>
      <c r="BL81" s="185"/>
      <c r="BM81" s="184" t="str">
        <f>IF(Configuração!X12=EscalaLinear!BY5,10,IF(Configuração!X12=BY6,9,IF(Configuração!X12=BY7,8,IF(Configuração!X12=BY8,7,IF(Configuração!X12=BY9,6,IF(Configuração!X12=BY10,5,IF(Configuração!X12=BY11,4,IF(Configuração!X12=BY12,3,IF(Configuração!X12=BY13,2,IF(Configuração!X12=BY14,1,""))))))))))</f>
        <v/>
      </c>
      <c r="BN81" s="184" t="str">
        <f>IF(Configuração!X13=EscalaLinear!BY5,10,IF(Configuração!X13=BY6,9,IF(Configuração!X13=BY7,8,IF(Configuração!X13=BY8,7,IF(Configuração!X13=BY9,6,IF(Configuração!X13=BY10,5,IF(Configuração!X13=BY11,4,IF(Configuração!X13=BY12,3,IF(Configuração!X13=BY13,2,IF(Configuração!X13=BY14,1,""))))))))))</f>
        <v/>
      </c>
      <c r="BO81" s="22"/>
      <c r="BP81" s="22"/>
      <c r="BQ81" s="20"/>
      <c r="BR81" s="18"/>
      <c r="BS81" s="20"/>
      <c r="BT81" s="25"/>
      <c r="BU81" s="1"/>
      <c r="BV81" s="1"/>
    </row>
    <row r="82" spans="1:74" ht="15" customHeight="1" x14ac:dyDescent="0.2">
      <c r="A82" s="209"/>
      <c r="B82" s="138" t="s">
        <v>13</v>
      </c>
      <c r="C82" s="182"/>
      <c r="D82" s="185"/>
      <c r="E82" s="185"/>
      <c r="F82" s="185"/>
      <c r="G82" s="151"/>
      <c r="I82" s="20"/>
      <c r="J82" s="18"/>
      <c r="K82" s="20"/>
      <c r="L82" s="25"/>
      <c r="M82" s="182"/>
      <c r="N82" s="185"/>
      <c r="O82" s="185"/>
      <c r="P82" s="185"/>
      <c r="Q82" s="151"/>
      <c r="S82" s="20"/>
      <c r="T82" s="18"/>
      <c r="U82" s="20"/>
      <c r="V82" s="25"/>
      <c r="W82" s="182"/>
      <c r="X82" s="185"/>
      <c r="Y82" s="185"/>
      <c r="Z82" s="185"/>
      <c r="AA82" s="151"/>
      <c r="AC82" s="20"/>
      <c r="AD82" s="18"/>
      <c r="AE82" s="20"/>
      <c r="AF82" s="25"/>
      <c r="AG82" s="182"/>
      <c r="AH82" s="185"/>
      <c r="AI82" s="185"/>
      <c r="AJ82" s="185"/>
      <c r="AK82" s="151"/>
      <c r="AM82" s="20"/>
      <c r="AN82" s="18"/>
      <c r="AO82" s="20"/>
      <c r="AP82" s="25"/>
      <c r="AQ82" s="182"/>
      <c r="AR82" s="185"/>
      <c r="AS82" s="185"/>
      <c r="AT82" s="185"/>
      <c r="AU82" s="151"/>
      <c r="AW82" s="20"/>
      <c r="AX82" s="18"/>
      <c r="AY82" s="20"/>
      <c r="AZ82" s="25"/>
      <c r="BA82" s="182"/>
      <c r="BB82" s="185"/>
      <c r="BC82" s="185"/>
      <c r="BD82" s="185"/>
      <c r="BE82" s="151"/>
      <c r="BG82" s="20"/>
      <c r="BH82" s="18"/>
      <c r="BI82" s="20"/>
      <c r="BJ82" s="25"/>
      <c r="BK82" s="182"/>
      <c r="BL82" s="185"/>
      <c r="BM82" s="185"/>
      <c r="BN82" s="185"/>
      <c r="BO82" s="151"/>
      <c r="BQ82" s="20"/>
      <c r="BR82" s="18"/>
      <c r="BS82" s="20"/>
      <c r="BT82" s="25"/>
      <c r="BU82" s="1"/>
      <c r="BV82" s="1"/>
    </row>
    <row r="83" spans="1:74" ht="15" customHeight="1" x14ac:dyDescent="0.2">
      <c r="A83" s="209"/>
      <c r="B83" s="139" t="s">
        <v>14</v>
      </c>
      <c r="C83" s="182"/>
      <c r="D83" s="185"/>
      <c r="E83" s="185"/>
      <c r="F83" s="185"/>
      <c r="G83" s="184">
        <f>IF(Configuração!R14=EscalaLinear!BY5,10,IF(Configuração!R14=BY6,9,IF(Configuração!R14=BY7,8,IF(Configuração!R14=BY8,7,IF(Configuração!R14=BY9,6,IF(Configuração!R14=BY10,5,IF(Configuração!R14=BY11,4,IF(Configuração!R14=BY12,3,IF(Configuração!R14=BY13,2,IF(Configuração!R14=BY14,1,""))))))))))</f>
        <v>9</v>
      </c>
      <c r="H83" s="184" t="str">
        <f>IF(Configuração!R15=EscalaLinear!BY5,10,IF(Configuração!R15=BY6,9,IF(Configuração!R15=BY7,8,IF(Configuração!R15=BY8,7,IF(Configuração!R15=BY9,6,IF(Configuração!R15=BY10,5,IF(Configuração!R15=BY11,4,IF(Configuração!R15=BY12,3,IF(Configuração!R15=BY13,2,IF(Configuração!R15=BY14,1,""))))))))))</f>
        <v/>
      </c>
      <c r="I83" s="20"/>
      <c r="J83" s="18"/>
      <c r="K83" s="20"/>
      <c r="L83" s="25"/>
      <c r="M83" s="182"/>
      <c r="N83" s="185"/>
      <c r="O83" s="185"/>
      <c r="P83" s="185"/>
      <c r="Q83" s="184">
        <f>IF(Configuração!S14=EscalaLinear!BY5,10,IF(Configuração!S14=BY6,9,IF(Configuração!S14=BY7,8,IF(Configuração!S14=BY8,7,IF(Configuração!S14=BY9,6,IF(Configuração!S14=BY10,5,IF(Configuração!S14=BY11,4,IF(Configuração!S14=BY12,3,IF(Configuração!S14=BY13,2,IF(Configuração!S14=BY14,1,""))))))))))</f>
        <v>9</v>
      </c>
      <c r="R83" s="184" t="str">
        <f>IF(Configuração!S15=EscalaLinear!BY5,10,IF(Configuração!S15=BY6,9,IF(Configuração!S15=BY7,8,IF(Configuração!S15=BY8,7,IF(Configuração!S15=BY9,6,IF(Configuração!S15=BY10,5,IF(Configuração!S15=BY11,4,IF(Configuração!S15=BY12,3,IF(Configuração!S15=BY13,2,IF(Configuração!S15=BY14,1,""))))))))))</f>
        <v/>
      </c>
      <c r="S83" s="20"/>
      <c r="T83" s="18"/>
      <c r="U83" s="20"/>
      <c r="V83" s="25"/>
      <c r="W83" s="182"/>
      <c r="X83" s="185"/>
      <c r="Y83" s="185"/>
      <c r="Z83" s="185"/>
      <c r="AA83" s="184">
        <f>IF(Configuração!T14=EscalaLinear!BY5,10,IF(Configuração!T14=BY6,9,IF(Configuração!T14=BY7,8,IF(Configuração!T14=BY8,7,IF(Configuração!T14=BY9,6,IF(Configuração!T14=BY10,5,IF(Configuração!T14=BY11,4,IF(Configuração!T14=BY12,3,IF(Configuração!T14=BY13,2,IF(Configuração!T14=BY14,1,""))))))))))</f>
        <v>9</v>
      </c>
      <c r="AB83" s="184" t="str">
        <f>IF(Configuração!T15=EscalaLinear!BY5,10,IF(Configuração!T15=BY6,9,IF(Configuração!T15=BY7,8,IF(Configuração!T15=BY8,7,IF(Configuração!T15=BY9,6,IF(Configuração!T15=BY10,5,IF(Configuração!T15=BY11,4,IF(Configuração!T15=BY12,3,IF(Configuração!T15=BY13,2,IF(Configuração!T15=BY14,1,""))))))))))</f>
        <v/>
      </c>
      <c r="AC83" s="20"/>
      <c r="AD83" s="18"/>
      <c r="AE83" s="20"/>
      <c r="AF83" s="25"/>
      <c r="AG83" s="182"/>
      <c r="AH83" s="185"/>
      <c r="AI83" s="185"/>
      <c r="AJ83" s="185"/>
      <c r="AK83" s="184">
        <f>IF(Configuração!U14=EscalaLinear!BY5,10,IF(Configuração!U14=BY6,9,IF(Configuração!U14=BY7,8,IF(Configuração!U14=BY8,7,IF(Configuração!U14=BY9,6,IF(Configuração!U14=BY10,5,IF(Configuração!U14=BY11,4,IF(Configuração!U14=BY12,3,IF(Configuração!U14=BY13,2,IF(Configuração!U14=BY14,1,""))))))))))</f>
        <v>9</v>
      </c>
      <c r="AL83" s="184" t="str">
        <f>IF(Configuração!U15=EscalaLinear!BY5,10,IF(Configuração!U15=BY6,9,IF(Configuração!U15=BY7,8,IF(Configuração!U15=BY8,7,IF(Configuração!U15=BY9,6,IF(Configuração!U15=BY10,5,IF(Configuração!U15=BY11,4,IF(Configuração!U15=BY12,3,IF(Configuração!U15=BY13,2,IF(Configuração!U15=BY14,1,""))))))))))</f>
        <v/>
      </c>
      <c r="AM83" s="20"/>
      <c r="AN83" s="18"/>
      <c r="AO83" s="20"/>
      <c r="AP83" s="25"/>
      <c r="AQ83" s="182"/>
      <c r="AR83" s="185"/>
      <c r="AS83" s="185"/>
      <c r="AT83" s="185"/>
      <c r="AU83" s="184">
        <f>IF(Configuração!V14=EscalaLinear!BY5,10,IF(Configuração!V14=BY6,9,IF(Configuração!V14=BY7,8,IF(Configuração!V14=BY8,7,IF(Configuração!V14=BY9,6,IF(Configuração!V14=BY10,5,IF(Configuração!V14=BY11,4,IF(Configuração!V14=BY12,3,IF(Configuração!V14=BY13,2,IF(Configuração!V14=BY14,1,""))))))))))</f>
        <v>9</v>
      </c>
      <c r="AV83" s="184" t="str">
        <f>IF(Configuração!V15=EscalaLinear!BY5,10,IF(Configuração!V15=BY6,9,IF(Configuração!V15=BY7,8,IF(Configuração!V15=BY8,7,IF(Configuração!V15=BY9,6,IF(Configuração!V15=BY10,5,IF(Configuração!V15=BY11,4,IF(Configuração!V15=BY12,3,IF(Configuração!V15=BY13,2,IF(Configuração!V15=BY14,1,""))))))))))</f>
        <v/>
      </c>
      <c r="AW83" s="20"/>
      <c r="AX83" s="18"/>
      <c r="AY83" s="20"/>
      <c r="AZ83" s="25"/>
      <c r="BA83" s="182"/>
      <c r="BB83" s="185"/>
      <c r="BC83" s="185"/>
      <c r="BD83" s="185"/>
      <c r="BE83" s="184">
        <f>IF(Configuração!W14=EscalaLinear!BY5,10,IF(Configuração!W14=BY6,9,IF(Configuração!W14=BY7,8,IF(Configuração!W14=BY8,7,IF(Configuração!W14=BY9,6,IF(Configuração!W14=BY10,5,IF(Configuração!W14=BY11,4,IF(Configuração!W14=BY12,3,IF(Configuração!W14=BY13,2,IF(Configuração!W14=BY14,1,""))))))))))</f>
        <v>9</v>
      </c>
      <c r="BF83" s="184" t="str">
        <f>IF(Configuração!W15=EscalaLinear!BY5,10,IF(Configuração!W15=BY6,9,IF(Configuração!W15=BY7,8,IF(Configuração!W15=BY8,7,IF(Configuração!W15=BY9,6,IF(Configuração!W15=BY10,5,IF(Configuração!W15=BY11,4,IF(Configuração!W15=BY12,3,IF(Configuração!W15=BY13,2,IF(Configuração!W15=BY14,1,""))))))))))</f>
        <v/>
      </c>
      <c r="BG83" s="20"/>
      <c r="BH83" s="18"/>
      <c r="BI83" s="20"/>
      <c r="BJ83" s="25"/>
      <c r="BK83" s="182"/>
      <c r="BL83" s="185"/>
      <c r="BM83" s="185"/>
      <c r="BN83" s="185"/>
      <c r="BO83" s="184">
        <f>IF(Configuração!X14=EscalaLinear!BY5,10,IF(Configuração!X14=BY6,9,IF(Configuração!X14=BY7,8,IF(Configuração!X14=BY8,7,IF(Configuração!X14=BY9,6,IF(Configuração!X14=BY10,5,IF(Configuração!X14=BY11,4,IF(Configuração!X14=BY12,3,IF(Configuração!X14=BY13,2,IF(Configuração!X14=BY14,1,""))))))))))</f>
        <v>9</v>
      </c>
      <c r="BP83" s="184" t="str">
        <f>IF(Configuração!X15=EscalaLinear!BY5,10,IF(Configuração!X15=BY6,9,IF(Configuração!X15=BY7,8,IF(Configuração!X15=BY8,7,IF(Configuração!X15=BY9,6,IF(Configuração!X15=BY10,5,IF(Configuração!X15=BY11,4,IF(Configuração!X15=BY12,3,IF(Configuração!X15=BY13,2,IF(Configuração!X15=BY14,1,""))))))))))</f>
        <v/>
      </c>
      <c r="BQ83" s="20"/>
      <c r="BR83" s="18"/>
      <c r="BS83" s="20"/>
      <c r="BT83" s="25"/>
      <c r="BU83" s="1"/>
      <c r="BV83" s="1"/>
    </row>
    <row r="84" spans="1:74" ht="15" customHeight="1" x14ac:dyDescent="0.2">
      <c r="A84" s="209"/>
      <c r="B84" s="138" t="s">
        <v>15</v>
      </c>
      <c r="C84" s="182"/>
      <c r="D84" s="185"/>
      <c r="E84" s="185"/>
      <c r="F84" s="185"/>
      <c r="G84" s="185"/>
      <c r="H84" s="185"/>
      <c r="I84" s="18"/>
      <c r="J84" s="20"/>
      <c r="K84" s="20"/>
      <c r="L84" s="25"/>
      <c r="M84" s="182"/>
      <c r="N84" s="185"/>
      <c r="O84" s="185"/>
      <c r="P84" s="185"/>
      <c r="Q84" s="185"/>
      <c r="R84" s="185"/>
      <c r="S84" s="18"/>
      <c r="T84" s="18"/>
      <c r="U84" s="20"/>
      <c r="V84" s="25"/>
      <c r="W84" s="182"/>
      <c r="X84" s="185"/>
      <c r="Y84" s="185"/>
      <c r="Z84" s="185"/>
      <c r="AA84" s="185"/>
      <c r="AB84" s="185"/>
      <c r="AC84" s="18"/>
      <c r="AD84" s="20"/>
      <c r="AE84" s="20"/>
      <c r="AF84" s="25"/>
      <c r="AG84" s="182"/>
      <c r="AH84" s="185"/>
      <c r="AI84" s="185"/>
      <c r="AJ84" s="185"/>
      <c r="AK84" s="185"/>
      <c r="AL84" s="185"/>
      <c r="AM84" s="18"/>
      <c r="AN84" s="18"/>
      <c r="AO84" s="20"/>
      <c r="AP84" s="25"/>
      <c r="AQ84" s="182"/>
      <c r="AR84" s="185"/>
      <c r="AS84" s="185"/>
      <c r="AT84" s="185"/>
      <c r="AU84" s="185"/>
      <c r="AV84" s="185"/>
      <c r="AW84" s="18"/>
      <c r="AX84" s="20"/>
      <c r="AY84" s="20"/>
      <c r="AZ84" s="25"/>
      <c r="BA84" s="182"/>
      <c r="BB84" s="185"/>
      <c r="BC84" s="185"/>
      <c r="BD84" s="185"/>
      <c r="BE84" s="185"/>
      <c r="BF84" s="185"/>
      <c r="BG84" s="18"/>
      <c r="BH84" s="18"/>
      <c r="BI84" s="20"/>
      <c r="BJ84" s="25"/>
      <c r="BK84" s="182"/>
      <c r="BL84" s="185"/>
      <c r="BM84" s="185"/>
      <c r="BN84" s="185"/>
      <c r="BO84" s="185"/>
      <c r="BP84" s="185"/>
      <c r="BQ84" s="18"/>
      <c r="BR84" s="18"/>
      <c r="BS84" s="20"/>
      <c r="BT84" s="25"/>
      <c r="BU84" s="1"/>
      <c r="BV84" s="1"/>
    </row>
    <row r="85" spans="1:74" ht="15" customHeight="1" x14ac:dyDescent="0.2">
      <c r="A85" s="209"/>
      <c r="B85" s="138" t="s">
        <v>16</v>
      </c>
      <c r="C85" s="182"/>
      <c r="D85" s="185"/>
      <c r="E85" s="185"/>
      <c r="F85" s="185"/>
      <c r="G85" s="185"/>
      <c r="H85" s="185"/>
      <c r="I85" s="151"/>
      <c r="J85" s="151"/>
      <c r="K85" s="20"/>
      <c r="L85" s="25"/>
      <c r="M85" s="182"/>
      <c r="N85" s="185"/>
      <c r="O85" s="185"/>
      <c r="P85" s="185"/>
      <c r="Q85" s="185"/>
      <c r="R85" s="185"/>
      <c r="S85" s="151"/>
      <c r="T85" s="151"/>
      <c r="U85" s="20"/>
      <c r="V85" s="25"/>
      <c r="W85" s="182"/>
      <c r="X85" s="185"/>
      <c r="Y85" s="185"/>
      <c r="Z85" s="185"/>
      <c r="AA85" s="185"/>
      <c r="AB85" s="185"/>
      <c r="AC85" s="151"/>
      <c r="AD85" s="151"/>
      <c r="AE85" s="20"/>
      <c r="AF85" s="25"/>
      <c r="AG85" s="182"/>
      <c r="AH85" s="185"/>
      <c r="AI85" s="185"/>
      <c r="AJ85" s="185"/>
      <c r="AK85" s="185"/>
      <c r="AL85" s="185"/>
      <c r="AM85" s="151"/>
      <c r="AN85" s="151"/>
      <c r="AO85" s="20"/>
      <c r="AP85" s="25"/>
      <c r="AQ85" s="182"/>
      <c r="AR85" s="185"/>
      <c r="AS85" s="185"/>
      <c r="AT85" s="185"/>
      <c r="AU85" s="185"/>
      <c r="AV85" s="185"/>
      <c r="AW85" s="151"/>
      <c r="AX85" s="151"/>
      <c r="AY85" s="20"/>
      <c r="AZ85" s="25"/>
      <c r="BA85" s="182"/>
      <c r="BB85" s="185"/>
      <c r="BC85" s="185"/>
      <c r="BD85" s="185"/>
      <c r="BE85" s="185"/>
      <c r="BF85" s="185"/>
      <c r="BG85" s="151"/>
      <c r="BH85" s="151"/>
      <c r="BI85" s="20"/>
      <c r="BJ85" s="25"/>
      <c r="BK85" s="182"/>
      <c r="BL85" s="185"/>
      <c r="BM85" s="185"/>
      <c r="BN85" s="185"/>
      <c r="BO85" s="185"/>
      <c r="BP85" s="185"/>
      <c r="BQ85" s="151"/>
      <c r="BR85" s="151"/>
      <c r="BS85" s="20"/>
      <c r="BT85" s="25"/>
      <c r="BU85" s="1"/>
      <c r="BV85" s="1"/>
    </row>
    <row r="86" spans="1:74" ht="15" customHeight="1" x14ac:dyDescent="0.2">
      <c r="A86" s="209"/>
      <c r="B86" s="140" t="s">
        <v>17</v>
      </c>
      <c r="C86" s="182"/>
      <c r="D86" s="185"/>
      <c r="E86" s="185"/>
      <c r="F86" s="185"/>
      <c r="G86" s="185"/>
      <c r="H86" s="185"/>
      <c r="I86" s="187" t="str">
        <f>IF(Configuração!R16=EscalaLinear!BY5,10,IF(Configuração!R16=BY6,9,IF(Configuração!R16=BY7,8,IF(Configuração!R16=BY8,7,IF(Configuração!R16=BY9,6,IF(Configuração!R16=BY10,5,IF(Configuração!R16=BY11,4,IF(Configuração!R16=BY12,3,IF(Configuração!R16=BY13,2,IF(Configuração!R16=BY14,1,""))))))))))</f>
        <v/>
      </c>
      <c r="J86" s="187" t="str">
        <f>IF(Configuração!R17=EscalaLinear!BY5,10,IF(Configuração!R17=BY6,9,IF(Configuração!R17=BY7,8,IF(Configuração!R17=BY8,7,IF(Configuração!R17=BY9,6,IF(Configuração!R17=BY10,5,IF(Configuração!R17=BY11,4,IF(Configuração!R17=BY12,3,IF(Configuração!R17=BY13,2,IF(Configuração!R17=BY14,1,""))))))))))</f>
        <v/>
      </c>
      <c r="K86" s="20"/>
      <c r="L86" s="25"/>
      <c r="M86" s="182"/>
      <c r="N86" s="185"/>
      <c r="O86" s="185"/>
      <c r="P86" s="185"/>
      <c r="Q86" s="185"/>
      <c r="R86" s="185"/>
      <c r="S86" s="187" t="str">
        <f>IF(Configuração!S16=EscalaLinear!BY5,10,IF(Configuração!S16=BY6,9,IF(Configuração!S16=BY7,8,IF(Configuração!S16=BY8,7,IF(Configuração!S16=BY9,6,IF(Configuração!S16=BY10,5,IF(Configuração!S16=BY11,4,IF(Configuração!S16=BY12,3,IF(Configuração!S16=BY13,2,IF(Configuração!S16=BY14,1,""))))))))))</f>
        <v/>
      </c>
      <c r="T86" s="187" t="str">
        <f>IF(Configuração!S17=EscalaLinear!BY5,10,IF(Configuração!S17=BY6,9,IF(Configuração!S17=BY7,8,IF(Configuração!S17=BY8,7,IF(Configuração!S17=BY9,6,IF(Configuração!S17=BY10,5,IF(Configuração!S17=BY11,4,IF(Configuração!S17=BY12,3,IF(Configuração!S17=BY13,2,IF(Configuração!S17=BY14,1,""))))))))))</f>
        <v/>
      </c>
      <c r="U86" s="20"/>
      <c r="V86" s="25"/>
      <c r="W86" s="182"/>
      <c r="X86" s="185"/>
      <c r="Y86" s="185"/>
      <c r="Z86" s="185"/>
      <c r="AA86" s="185"/>
      <c r="AB86" s="185"/>
      <c r="AC86" s="187" t="str">
        <f>IF(Configuração!T16=EscalaLinear!BY5,10,IF(Configuração!T16=BY6,9,IF(Configuração!T16=BY7,8,IF(Configuração!T16=BY8,7,IF(Configuração!T16=BY9,6,IF(Configuração!T16=BY10,5,IF(Configuração!T16=BY11,4,IF(Configuração!T16=BY12,3,IF(Configuração!T16=BY13,2,IF(Configuração!T16=BY14,1,""))))))))))</f>
        <v/>
      </c>
      <c r="AD86" s="187" t="str">
        <f>IF(Configuração!T17=EscalaLinear!BY5,10,IF(Configuração!T17=BY6,9,IF(Configuração!T17=BY7,8,IF(Configuração!T17=BY8,7,IF(Configuração!T17=BY9,6,IF(Configuração!T17=BY10,5,IF(Configuração!T17=BY11,4,IF(Configuração!T17=BY12,3,IF(Configuração!T17=BY13,2,IF(Configuração!T17=BY14,1,""))))))))))</f>
        <v/>
      </c>
      <c r="AE86" s="20"/>
      <c r="AF86" s="25"/>
      <c r="AG86" s="182"/>
      <c r="AH86" s="185"/>
      <c r="AI86" s="185"/>
      <c r="AJ86" s="185"/>
      <c r="AK86" s="185"/>
      <c r="AL86" s="185"/>
      <c r="AM86" s="187" t="str">
        <f>IF(Configuração!U16=EscalaLinear!BY5,10,IF(Configuração!U16=BY6,9,IF(Configuração!U16=BY7,8,IF(Configuração!U16=BY8,7,IF(Configuração!U16=BY9,6,IF(Configuração!U16=BY10,5,IF(Configuração!U16=BY11,4,IF(Configuração!U16=BY12,3,IF(Configuração!U16=BY13,2,IF(Configuração!U16=BY14,1,""))))))))))</f>
        <v/>
      </c>
      <c r="AN86" s="187" t="str">
        <f>IF(Configuração!U17=EscalaLinear!BY5,10,IF(Configuração!U17=BY6,9,IF(Configuração!U17=BY7,8,IF(Configuração!U17=BY8,7,IF(Configuração!U17=BY9,6,IF(Configuração!U17=BY10,5,IF(Configuração!U17=BY11,4,IF(Configuração!U17=BY12,3,IF(Configuração!U17=BY13,2,IF(Configuração!U17=BY14,1,""))))))))))</f>
        <v/>
      </c>
      <c r="AO86" s="20"/>
      <c r="AP86" s="25"/>
      <c r="AQ86" s="182"/>
      <c r="AR86" s="185"/>
      <c r="AS86" s="185"/>
      <c r="AT86" s="185"/>
      <c r="AU86" s="185"/>
      <c r="AV86" s="185"/>
      <c r="AW86" s="187" t="str">
        <f>IF(Configuração!V16=EscalaLinear!BY5,10,IF(Configuração!V16=BY6,9,IF(Configuração!V16=BY7,8,IF(Configuração!V16=BY8,7,IF(Configuração!V16=BY9,6,IF(Configuração!V16=BY10,5,IF(Configuração!V16=BY11,4,IF(Configuração!V16=BY12,3,IF(Configuração!V16=BY13,2,IF(Configuração!V16=BY14,1,""))))))))))</f>
        <v/>
      </c>
      <c r="AX86" s="187" t="str">
        <f>IF(Configuração!V17=EscalaLinear!BY5,10,IF(Configuração!V17=BY6,9,IF(Configuração!V17=BY7,8,IF(Configuração!V17=BY8,7,IF(Configuração!V17=BY9,6,IF(Configuração!V17=BY10,5,IF(Configuração!V17=BY11,4,IF(Configuração!V17=BY12,3,IF(Configuração!V17=BY13,2,IF(Configuração!V17=BY14,1,""))))))))))</f>
        <v/>
      </c>
      <c r="AY86" s="20"/>
      <c r="AZ86" s="25"/>
      <c r="BA86" s="182"/>
      <c r="BB86" s="185"/>
      <c r="BC86" s="185"/>
      <c r="BD86" s="185"/>
      <c r="BE86" s="185"/>
      <c r="BF86" s="185"/>
      <c r="BG86" s="187" t="str">
        <f>IF(Configuração!W16=EscalaLinear!BY5,10,IF(Configuração!W16=BY6,9,IF(Configuração!W16=BY7,8,IF(Configuração!W16=BY8,7,IF(Configuração!W16=BY9,6,IF(Configuração!W16=BY10,5,IF(Configuração!W16=BY11,4,IF(Configuração!W16=BY12,3,IF(Configuração!W16=BY13,2,IF(Configuração!W16=BY14,1,""))))))))))</f>
        <v/>
      </c>
      <c r="BH86" s="187" t="str">
        <f>IF(Configuração!W17=EscalaLinear!BY5,10,IF(Configuração!W17=BY6,9,IF(Configuração!W17=BY7,8,IF(Configuração!W17=BY8,7,IF(Configuração!W17=BY9,6,IF(Configuração!W17=BY10,5,IF(Configuração!W17=BY11,4,IF(Configuração!W17=BY12,3,IF(Configuração!W17=BY13,2,IF(Configuração!W17=BY14,1,""))))))))))</f>
        <v/>
      </c>
      <c r="BI86" s="20"/>
      <c r="BJ86" s="25"/>
      <c r="BK86" s="182"/>
      <c r="BL86" s="185"/>
      <c r="BM86" s="185"/>
      <c r="BN86" s="185"/>
      <c r="BO86" s="185"/>
      <c r="BP86" s="185"/>
      <c r="BQ86" s="187" t="str">
        <f>IF(Configuração!X16=EscalaLinear!BY5,10,IF(Configuração!X16=BY6,9,IF(Configuração!X16=BY7,8,IF(Configuração!X16=BY8,7,IF(Configuração!X16=BY9,6,IF(Configuração!X16=BY10,5,IF(Configuração!X16=BY11,4,IF(Configuração!X16=BY12,3,IF(Configuração!X16=BY13,2,IF(Configuração!X16=BY14,1,""))))))))))</f>
        <v/>
      </c>
      <c r="BR86" s="187" t="str">
        <f>IF(Configuração!X17=EscalaLinear!BY5,10,IF(Configuração!X17=BY6,9,IF(Configuração!X17=BY7,8,IF(Configuração!X17=BY8,7,IF(Configuração!X17=BY9,6,IF(Configuração!X17=BY10,5,IF(Configuração!X17=BY11,4,IF(Configuração!X17=BY12,3,IF(Configuração!X17=BY13,2,IF(Configuração!X17=BY14,1,""))))))))))</f>
        <v/>
      </c>
      <c r="BS86" s="20"/>
      <c r="BT86" s="25"/>
      <c r="BU86" s="1"/>
      <c r="BV86" s="1"/>
    </row>
    <row r="87" spans="1:74" ht="15" customHeight="1" x14ac:dyDescent="0.2">
      <c r="A87" s="209"/>
      <c r="B87" s="138" t="s">
        <v>18</v>
      </c>
      <c r="C87" s="182"/>
      <c r="D87" s="185"/>
      <c r="E87" s="185"/>
      <c r="F87" s="185"/>
      <c r="G87" s="185"/>
      <c r="H87" s="185"/>
      <c r="I87" s="188"/>
      <c r="J87" s="188"/>
      <c r="K87" s="20"/>
      <c r="L87" s="25"/>
      <c r="M87" s="182"/>
      <c r="N87" s="185"/>
      <c r="O87" s="185"/>
      <c r="P87" s="185"/>
      <c r="Q87" s="185"/>
      <c r="R87" s="185"/>
      <c r="S87" s="188"/>
      <c r="T87" s="188"/>
      <c r="U87" s="20"/>
      <c r="V87" s="25"/>
      <c r="W87" s="182"/>
      <c r="X87" s="185"/>
      <c r="Y87" s="185"/>
      <c r="Z87" s="185"/>
      <c r="AA87" s="185"/>
      <c r="AB87" s="185"/>
      <c r="AC87" s="188"/>
      <c r="AD87" s="188"/>
      <c r="AE87" s="20"/>
      <c r="AF87" s="25"/>
      <c r="AG87" s="182"/>
      <c r="AH87" s="185"/>
      <c r="AI87" s="185"/>
      <c r="AJ87" s="185"/>
      <c r="AK87" s="185"/>
      <c r="AL87" s="185"/>
      <c r="AM87" s="188"/>
      <c r="AN87" s="188"/>
      <c r="AO87" s="20"/>
      <c r="AP87" s="25"/>
      <c r="AQ87" s="182"/>
      <c r="AR87" s="185"/>
      <c r="AS87" s="185"/>
      <c r="AT87" s="185"/>
      <c r="AU87" s="185"/>
      <c r="AV87" s="185"/>
      <c r="AW87" s="188"/>
      <c r="AX87" s="188"/>
      <c r="AY87" s="20"/>
      <c r="AZ87" s="25"/>
      <c r="BA87" s="182"/>
      <c r="BB87" s="185"/>
      <c r="BC87" s="185"/>
      <c r="BD87" s="185"/>
      <c r="BE87" s="185"/>
      <c r="BF87" s="185"/>
      <c r="BG87" s="188"/>
      <c r="BH87" s="188"/>
      <c r="BI87" s="20"/>
      <c r="BJ87" s="25"/>
      <c r="BK87" s="182"/>
      <c r="BL87" s="185"/>
      <c r="BM87" s="185"/>
      <c r="BN87" s="185"/>
      <c r="BO87" s="185"/>
      <c r="BP87" s="185"/>
      <c r="BQ87" s="188"/>
      <c r="BR87" s="188"/>
      <c r="BS87" s="20"/>
      <c r="BT87" s="25"/>
      <c r="BU87" s="1"/>
      <c r="BV87" s="1"/>
    </row>
    <row r="88" spans="1:74" ht="15" customHeight="1" x14ac:dyDescent="0.2">
      <c r="A88" s="209"/>
      <c r="B88" s="138" t="s">
        <v>19</v>
      </c>
      <c r="C88" s="183"/>
      <c r="D88" s="186"/>
      <c r="E88" s="185"/>
      <c r="F88" s="185"/>
      <c r="G88" s="185"/>
      <c r="H88" s="185"/>
      <c r="I88" s="188"/>
      <c r="J88" s="188"/>
      <c r="K88" s="20"/>
      <c r="L88" s="25"/>
      <c r="M88" s="183"/>
      <c r="N88" s="186"/>
      <c r="O88" s="185"/>
      <c r="P88" s="185"/>
      <c r="Q88" s="185"/>
      <c r="R88" s="185"/>
      <c r="S88" s="188"/>
      <c r="T88" s="188"/>
      <c r="U88" s="20"/>
      <c r="V88" s="25"/>
      <c r="W88" s="183"/>
      <c r="X88" s="186"/>
      <c r="Y88" s="185"/>
      <c r="Z88" s="185"/>
      <c r="AA88" s="185"/>
      <c r="AB88" s="185"/>
      <c r="AC88" s="188"/>
      <c r="AD88" s="188"/>
      <c r="AE88" s="20"/>
      <c r="AF88" s="25"/>
      <c r="AG88" s="183"/>
      <c r="AH88" s="186"/>
      <c r="AI88" s="185"/>
      <c r="AJ88" s="185"/>
      <c r="AK88" s="185"/>
      <c r="AL88" s="185"/>
      <c r="AM88" s="188"/>
      <c r="AN88" s="188"/>
      <c r="AO88" s="20"/>
      <c r="AP88" s="25"/>
      <c r="AQ88" s="183"/>
      <c r="AR88" s="186"/>
      <c r="AS88" s="185"/>
      <c r="AT88" s="185"/>
      <c r="AU88" s="185"/>
      <c r="AV88" s="185"/>
      <c r="AW88" s="188"/>
      <c r="AX88" s="188"/>
      <c r="AY88" s="20"/>
      <c r="AZ88" s="25"/>
      <c r="BA88" s="183"/>
      <c r="BB88" s="186"/>
      <c r="BC88" s="185"/>
      <c r="BD88" s="185"/>
      <c r="BE88" s="185"/>
      <c r="BF88" s="185"/>
      <c r="BG88" s="188"/>
      <c r="BH88" s="188"/>
      <c r="BI88" s="20"/>
      <c r="BJ88" s="25"/>
      <c r="BK88" s="183"/>
      <c r="BL88" s="186"/>
      <c r="BM88" s="185"/>
      <c r="BN88" s="185"/>
      <c r="BO88" s="185"/>
      <c r="BP88" s="185"/>
      <c r="BQ88" s="188"/>
      <c r="BR88" s="188"/>
      <c r="BS88" s="20"/>
      <c r="BT88" s="25"/>
      <c r="BU88" s="1"/>
      <c r="BV88" s="1"/>
    </row>
    <row r="89" spans="1:74" ht="15" customHeight="1" x14ac:dyDescent="0.2">
      <c r="A89" s="209"/>
      <c r="B89" s="138" t="s">
        <v>20</v>
      </c>
      <c r="C89" s="28"/>
      <c r="D89" s="20"/>
      <c r="E89" s="185"/>
      <c r="F89" s="185"/>
      <c r="G89" s="185"/>
      <c r="H89" s="185"/>
      <c r="I89" s="188"/>
      <c r="J89" s="188"/>
      <c r="K89" s="20"/>
      <c r="L89" s="25"/>
      <c r="M89" s="28"/>
      <c r="N89" s="20"/>
      <c r="O89" s="185"/>
      <c r="P89" s="185"/>
      <c r="Q89" s="185"/>
      <c r="R89" s="185"/>
      <c r="S89" s="188"/>
      <c r="T89" s="188"/>
      <c r="U89" s="20"/>
      <c r="V89" s="25"/>
      <c r="W89" s="28"/>
      <c r="X89" s="20"/>
      <c r="Y89" s="185"/>
      <c r="Z89" s="185"/>
      <c r="AA89" s="185"/>
      <c r="AB89" s="185"/>
      <c r="AC89" s="188"/>
      <c r="AD89" s="188"/>
      <c r="AE89" s="20"/>
      <c r="AF89" s="25"/>
      <c r="AG89" s="28"/>
      <c r="AH89" s="20"/>
      <c r="AI89" s="185"/>
      <c r="AJ89" s="185"/>
      <c r="AK89" s="185"/>
      <c r="AL89" s="185"/>
      <c r="AM89" s="188"/>
      <c r="AN89" s="188"/>
      <c r="AO89" s="20"/>
      <c r="AP89" s="25"/>
      <c r="AQ89" s="28"/>
      <c r="AR89" s="20"/>
      <c r="AS89" s="185"/>
      <c r="AT89" s="185"/>
      <c r="AU89" s="185"/>
      <c r="AV89" s="185"/>
      <c r="AW89" s="188"/>
      <c r="AX89" s="188"/>
      <c r="AY89" s="20"/>
      <c r="AZ89" s="25"/>
      <c r="BA89" s="28"/>
      <c r="BB89" s="20"/>
      <c r="BC89" s="185"/>
      <c r="BD89" s="185"/>
      <c r="BE89" s="185"/>
      <c r="BF89" s="185"/>
      <c r="BG89" s="188"/>
      <c r="BH89" s="188"/>
      <c r="BI89" s="20"/>
      <c r="BJ89" s="25"/>
      <c r="BK89" s="28"/>
      <c r="BL89" s="20"/>
      <c r="BM89" s="185"/>
      <c r="BN89" s="185"/>
      <c r="BO89" s="185"/>
      <c r="BP89" s="185"/>
      <c r="BQ89" s="188"/>
      <c r="BR89" s="188"/>
      <c r="BS89" s="20"/>
      <c r="BT89" s="25"/>
      <c r="BU89" s="1"/>
      <c r="BV89" s="1"/>
    </row>
    <row r="90" spans="1:74" ht="15" customHeight="1" x14ac:dyDescent="0.2">
      <c r="A90" s="209"/>
      <c r="B90" s="138" t="s">
        <v>21</v>
      </c>
      <c r="C90" s="28"/>
      <c r="D90" s="20"/>
      <c r="E90" s="186"/>
      <c r="F90" s="186"/>
      <c r="G90" s="185"/>
      <c r="H90" s="185"/>
      <c r="I90" s="188"/>
      <c r="J90" s="188"/>
      <c r="K90" s="20"/>
      <c r="L90" s="25"/>
      <c r="M90" s="28"/>
      <c r="N90" s="20"/>
      <c r="O90" s="186"/>
      <c r="P90" s="186"/>
      <c r="Q90" s="185"/>
      <c r="R90" s="185"/>
      <c r="S90" s="188"/>
      <c r="T90" s="188"/>
      <c r="U90" s="20"/>
      <c r="V90" s="25"/>
      <c r="W90" s="28"/>
      <c r="X90" s="20"/>
      <c r="Y90" s="186"/>
      <c r="Z90" s="186"/>
      <c r="AA90" s="185"/>
      <c r="AB90" s="185"/>
      <c r="AC90" s="188"/>
      <c r="AD90" s="188"/>
      <c r="AE90" s="20"/>
      <c r="AF90" s="25"/>
      <c r="AG90" s="28"/>
      <c r="AH90" s="20"/>
      <c r="AI90" s="186"/>
      <c r="AJ90" s="186"/>
      <c r="AK90" s="185"/>
      <c r="AL90" s="185"/>
      <c r="AM90" s="188"/>
      <c r="AN90" s="188"/>
      <c r="AO90" s="20"/>
      <c r="AP90" s="25"/>
      <c r="AQ90" s="28"/>
      <c r="AR90" s="20"/>
      <c r="AS90" s="186"/>
      <c r="AT90" s="186"/>
      <c r="AU90" s="185"/>
      <c r="AV90" s="185"/>
      <c r="AW90" s="188"/>
      <c r="AX90" s="188"/>
      <c r="AY90" s="20"/>
      <c r="AZ90" s="25"/>
      <c r="BA90" s="28"/>
      <c r="BB90" s="20"/>
      <c r="BC90" s="186"/>
      <c r="BD90" s="186"/>
      <c r="BE90" s="185"/>
      <c r="BF90" s="185"/>
      <c r="BG90" s="188"/>
      <c r="BH90" s="188"/>
      <c r="BI90" s="20"/>
      <c r="BJ90" s="25"/>
      <c r="BK90" s="28"/>
      <c r="BL90" s="20"/>
      <c r="BM90" s="186"/>
      <c r="BN90" s="186"/>
      <c r="BO90" s="185"/>
      <c r="BP90" s="185"/>
      <c r="BQ90" s="188"/>
      <c r="BR90" s="188"/>
      <c r="BS90" s="20"/>
      <c r="BT90" s="25"/>
      <c r="BU90" s="1"/>
      <c r="BV90" s="1"/>
    </row>
    <row r="91" spans="1:74" ht="15" customHeight="1" x14ac:dyDescent="0.2">
      <c r="A91" s="209"/>
      <c r="B91" s="138" t="s">
        <v>22</v>
      </c>
      <c r="C91" s="28"/>
      <c r="D91" s="20"/>
      <c r="E91" s="20"/>
      <c r="F91" s="20"/>
      <c r="G91" s="185"/>
      <c r="H91" s="185"/>
      <c r="I91" s="188"/>
      <c r="J91" s="188"/>
      <c r="K91" s="20"/>
      <c r="L91" s="25"/>
      <c r="M91" s="28"/>
      <c r="N91" s="20"/>
      <c r="O91" s="20"/>
      <c r="P91" s="20"/>
      <c r="Q91" s="185"/>
      <c r="R91" s="185"/>
      <c r="S91" s="188"/>
      <c r="T91" s="188"/>
      <c r="U91" s="20"/>
      <c r="V91" s="25"/>
      <c r="W91" s="28"/>
      <c r="X91" s="20"/>
      <c r="Y91" s="20"/>
      <c r="Z91" s="20"/>
      <c r="AA91" s="185"/>
      <c r="AB91" s="185"/>
      <c r="AC91" s="188"/>
      <c r="AD91" s="188"/>
      <c r="AE91" s="20"/>
      <c r="AF91" s="25"/>
      <c r="AG91" s="28"/>
      <c r="AH91" s="20"/>
      <c r="AI91" s="20"/>
      <c r="AJ91" s="20"/>
      <c r="AK91" s="185"/>
      <c r="AL91" s="185"/>
      <c r="AM91" s="188"/>
      <c r="AN91" s="188"/>
      <c r="AO91" s="20"/>
      <c r="AP91" s="25"/>
      <c r="AQ91" s="28"/>
      <c r="AR91" s="20"/>
      <c r="AS91" s="20"/>
      <c r="AT91" s="20"/>
      <c r="AU91" s="185"/>
      <c r="AV91" s="185"/>
      <c r="AW91" s="188"/>
      <c r="AX91" s="188"/>
      <c r="AY91" s="20"/>
      <c r="AZ91" s="25"/>
      <c r="BA91" s="28"/>
      <c r="BB91" s="20"/>
      <c r="BC91" s="20"/>
      <c r="BD91" s="20"/>
      <c r="BE91" s="185"/>
      <c r="BF91" s="185"/>
      <c r="BG91" s="188"/>
      <c r="BH91" s="188"/>
      <c r="BI91" s="20"/>
      <c r="BJ91" s="25"/>
      <c r="BK91" s="28"/>
      <c r="BL91" s="20"/>
      <c r="BM91" s="20"/>
      <c r="BN91" s="20"/>
      <c r="BO91" s="185"/>
      <c r="BP91" s="185"/>
      <c r="BQ91" s="188"/>
      <c r="BR91" s="188"/>
      <c r="BS91" s="20"/>
      <c r="BT91" s="25"/>
      <c r="BU91" s="1"/>
      <c r="BV91" s="1"/>
    </row>
    <row r="92" spans="1:74" ht="15" customHeight="1" x14ac:dyDescent="0.2">
      <c r="A92" s="209"/>
      <c r="B92" s="138" t="s">
        <v>23</v>
      </c>
      <c r="C92" s="27"/>
      <c r="D92" s="20"/>
      <c r="E92" s="20"/>
      <c r="F92" s="21"/>
      <c r="G92" s="186"/>
      <c r="H92" s="186"/>
      <c r="I92" s="188"/>
      <c r="J92" s="188"/>
      <c r="K92" s="20"/>
      <c r="L92" s="25"/>
      <c r="M92" s="27"/>
      <c r="N92" s="20"/>
      <c r="O92" s="20"/>
      <c r="P92" s="21"/>
      <c r="Q92" s="186"/>
      <c r="R92" s="186"/>
      <c r="S92" s="188"/>
      <c r="T92" s="188"/>
      <c r="U92" s="20"/>
      <c r="V92" s="25"/>
      <c r="W92" s="27"/>
      <c r="X92" s="20"/>
      <c r="Y92" s="20"/>
      <c r="Z92" s="21"/>
      <c r="AA92" s="186"/>
      <c r="AB92" s="186"/>
      <c r="AC92" s="188"/>
      <c r="AD92" s="188"/>
      <c r="AE92" s="20"/>
      <c r="AF92" s="25"/>
      <c r="AG92" s="27"/>
      <c r="AH92" s="20"/>
      <c r="AI92" s="20"/>
      <c r="AJ92" s="21"/>
      <c r="AK92" s="186"/>
      <c r="AL92" s="186"/>
      <c r="AM92" s="188"/>
      <c r="AN92" s="188"/>
      <c r="AO92" s="20"/>
      <c r="AP92" s="25"/>
      <c r="AQ92" s="27"/>
      <c r="AR92" s="20"/>
      <c r="AS92" s="20"/>
      <c r="AT92" s="21"/>
      <c r="AU92" s="186"/>
      <c r="AV92" s="186"/>
      <c r="AW92" s="188"/>
      <c r="AX92" s="188"/>
      <c r="AY92" s="20"/>
      <c r="AZ92" s="25"/>
      <c r="BA92" s="27"/>
      <c r="BB92" s="20"/>
      <c r="BC92" s="20"/>
      <c r="BD92" s="21"/>
      <c r="BE92" s="186"/>
      <c r="BF92" s="186"/>
      <c r="BG92" s="188"/>
      <c r="BH92" s="188"/>
      <c r="BI92" s="20"/>
      <c r="BJ92" s="25"/>
      <c r="BK92" s="27"/>
      <c r="BL92" s="20"/>
      <c r="BM92" s="20"/>
      <c r="BN92" s="21"/>
      <c r="BO92" s="186"/>
      <c r="BP92" s="186"/>
      <c r="BQ92" s="188"/>
      <c r="BR92" s="188"/>
      <c r="BS92" s="20"/>
      <c r="BT92" s="25"/>
      <c r="BU92" s="1"/>
      <c r="BV92" s="1"/>
    </row>
    <row r="93" spans="1:74" ht="15" customHeight="1" thickBot="1" x14ac:dyDescent="0.25">
      <c r="A93" s="210"/>
      <c r="B93" s="138" t="s">
        <v>24</v>
      </c>
      <c r="C93" s="144"/>
      <c r="D93" s="142"/>
      <c r="E93" s="142"/>
      <c r="F93" s="142"/>
      <c r="G93" s="142"/>
      <c r="H93" s="142"/>
      <c r="I93" s="188"/>
      <c r="J93" s="188"/>
      <c r="K93" s="142"/>
      <c r="L93" s="143"/>
      <c r="M93" s="144"/>
      <c r="N93" s="142"/>
      <c r="O93" s="142"/>
      <c r="P93" s="142"/>
      <c r="Q93" s="142"/>
      <c r="R93" s="142"/>
      <c r="S93" s="188"/>
      <c r="T93" s="188"/>
      <c r="U93" s="142"/>
      <c r="V93" s="143"/>
      <c r="W93" s="144"/>
      <c r="X93" s="142"/>
      <c r="Y93" s="142"/>
      <c r="Z93" s="142"/>
      <c r="AA93" s="142"/>
      <c r="AB93" s="142"/>
      <c r="AC93" s="188"/>
      <c r="AD93" s="188"/>
      <c r="AE93" s="142"/>
      <c r="AF93" s="143"/>
      <c r="AG93" s="144"/>
      <c r="AH93" s="142"/>
      <c r="AI93" s="142"/>
      <c r="AJ93" s="142"/>
      <c r="AK93" s="142"/>
      <c r="AL93" s="142"/>
      <c r="AM93" s="188"/>
      <c r="AN93" s="188"/>
      <c r="AO93" s="142"/>
      <c r="AP93" s="143"/>
      <c r="AQ93" s="144"/>
      <c r="AR93" s="142"/>
      <c r="AS93" s="142"/>
      <c r="AT93" s="142"/>
      <c r="AU93" s="142"/>
      <c r="AV93" s="142"/>
      <c r="AW93" s="188"/>
      <c r="AX93" s="188"/>
      <c r="AY93" s="142"/>
      <c r="AZ93" s="143"/>
      <c r="BA93" s="144"/>
      <c r="BB93" s="142"/>
      <c r="BC93" s="142"/>
      <c r="BD93" s="142"/>
      <c r="BE93" s="142"/>
      <c r="BF93" s="142"/>
      <c r="BG93" s="188"/>
      <c r="BH93" s="188"/>
      <c r="BI93" s="142"/>
      <c r="BJ93" s="143"/>
      <c r="BK93" s="144"/>
      <c r="BL93" s="142"/>
      <c r="BM93" s="142"/>
      <c r="BN93" s="142"/>
      <c r="BO93" s="142"/>
      <c r="BP93" s="142"/>
      <c r="BQ93" s="188"/>
      <c r="BR93" s="188"/>
      <c r="BS93" s="142"/>
      <c r="BT93" s="143"/>
      <c r="BU93" s="1"/>
      <c r="BV93" s="1"/>
    </row>
    <row r="94" spans="1:74" ht="15" customHeight="1" x14ac:dyDescent="0.2">
      <c r="A94" s="134"/>
      <c r="B94" s="138" t="s">
        <v>1</v>
      </c>
      <c r="C94" s="149"/>
      <c r="D94" s="145"/>
      <c r="E94" s="145"/>
      <c r="F94" s="145"/>
      <c r="G94" s="145"/>
      <c r="H94" s="145"/>
      <c r="I94" s="188"/>
      <c r="J94" s="188"/>
      <c r="K94" s="145"/>
      <c r="L94" s="150"/>
      <c r="M94" s="149"/>
      <c r="N94" s="145"/>
      <c r="O94" s="145"/>
      <c r="P94" s="145"/>
      <c r="Q94" s="145"/>
      <c r="R94" s="145"/>
      <c r="S94" s="188"/>
      <c r="T94" s="188"/>
      <c r="U94" s="145"/>
      <c r="V94" s="150"/>
      <c r="W94" s="149"/>
      <c r="X94" s="145"/>
      <c r="Y94" s="145"/>
      <c r="Z94" s="145"/>
      <c r="AA94" s="145"/>
      <c r="AB94" s="145"/>
      <c r="AC94" s="188"/>
      <c r="AD94" s="188"/>
      <c r="AE94" s="145"/>
      <c r="AF94" s="150"/>
      <c r="AG94" s="149"/>
      <c r="AH94" s="145"/>
      <c r="AI94" s="145"/>
      <c r="AJ94" s="145"/>
      <c r="AK94" s="145"/>
      <c r="AL94" s="145"/>
      <c r="AM94" s="188"/>
      <c r="AN94" s="188"/>
      <c r="AO94" s="145"/>
      <c r="AP94" s="150"/>
      <c r="AQ94" s="149"/>
      <c r="AR94" s="145"/>
      <c r="AS94" s="145"/>
      <c r="AT94" s="145"/>
      <c r="AU94" s="145"/>
      <c r="AV94" s="145"/>
      <c r="AW94" s="188"/>
      <c r="AX94" s="188"/>
      <c r="AY94" s="145"/>
      <c r="AZ94" s="150"/>
      <c r="BA94" s="149"/>
      <c r="BB94" s="145"/>
      <c r="BC94" s="145"/>
      <c r="BD94" s="145"/>
      <c r="BE94" s="145"/>
      <c r="BF94" s="145"/>
      <c r="BG94" s="188"/>
      <c r="BH94" s="188"/>
      <c r="BI94" s="145"/>
      <c r="BJ94" s="150"/>
      <c r="BK94" s="149"/>
      <c r="BL94" s="145"/>
      <c r="BM94" s="145"/>
      <c r="BN94" s="145"/>
      <c r="BO94" s="145"/>
      <c r="BP94" s="145"/>
      <c r="BQ94" s="188"/>
      <c r="BR94" s="188"/>
      <c r="BS94" s="145"/>
      <c r="BT94" s="150"/>
      <c r="BU94" s="1"/>
      <c r="BV94" s="1"/>
    </row>
    <row r="95" spans="1:74" ht="15" customHeight="1" thickBot="1" x14ac:dyDescent="0.25">
      <c r="A95" s="134"/>
      <c r="B95" s="138" t="s">
        <v>2</v>
      </c>
      <c r="C95" s="136"/>
      <c r="D95" s="135"/>
      <c r="E95" s="135"/>
      <c r="F95" s="135"/>
      <c r="G95" s="135"/>
      <c r="H95" s="135"/>
      <c r="I95" s="189"/>
      <c r="J95" s="189"/>
      <c r="K95" s="135"/>
      <c r="L95" s="137"/>
      <c r="M95" s="136"/>
      <c r="N95" s="135"/>
      <c r="O95" s="135"/>
      <c r="P95" s="135"/>
      <c r="Q95" s="135"/>
      <c r="R95" s="135"/>
      <c r="S95" s="189"/>
      <c r="T95" s="189"/>
      <c r="U95" s="135"/>
      <c r="V95" s="137"/>
      <c r="W95" s="136"/>
      <c r="X95" s="135"/>
      <c r="Y95" s="135"/>
      <c r="Z95" s="135"/>
      <c r="AA95" s="135"/>
      <c r="AB95" s="135"/>
      <c r="AC95" s="189"/>
      <c r="AD95" s="189"/>
      <c r="AE95" s="135"/>
      <c r="AF95" s="137"/>
      <c r="AG95" s="136"/>
      <c r="AH95" s="135"/>
      <c r="AI95" s="135"/>
      <c r="AJ95" s="135"/>
      <c r="AK95" s="135"/>
      <c r="AL95" s="135"/>
      <c r="AM95" s="189"/>
      <c r="AN95" s="189"/>
      <c r="AO95" s="135"/>
      <c r="AP95" s="137"/>
      <c r="AQ95" s="136"/>
      <c r="AR95" s="135"/>
      <c r="AS95" s="135"/>
      <c r="AT95" s="135"/>
      <c r="AU95" s="135"/>
      <c r="AV95" s="135"/>
      <c r="AW95" s="189"/>
      <c r="AX95" s="189"/>
      <c r="AY95" s="135"/>
      <c r="AZ95" s="137"/>
      <c r="BA95" s="136"/>
      <c r="BB95" s="135"/>
      <c r="BC95" s="135"/>
      <c r="BD95" s="135"/>
      <c r="BE95" s="135"/>
      <c r="BF95" s="135"/>
      <c r="BG95" s="189"/>
      <c r="BH95" s="189"/>
      <c r="BI95" s="135"/>
      <c r="BJ95" s="137"/>
      <c r="BK95" s="136"/>
      <c r="BL95" s="135"/>
      <c r="BM95" s="135"/>
      <c r="BN95" s="135"/>
      <c r="BO95" s="135"/>
      <c r="BP95" s="135"/>
      <c r="BQ95" s="189"/>
      <c r="BR95" s="189"/>
      <c r="BS95" s="135"/>
      <c r="BT95" s="137"/>
      <c r="BU95" s="1"/>
      <c r="BV95" s="1"/>
    </row>
    <row r="96" spans="1:74" ht="15" customHeight="1" thickBot="1" x14ac:dyDescent="0.25">
      <c r="A96" s="202" t="s">
        <v>27</v>
      </c>
      <c r="B96" s="195" t="str">
        <f>UPPER(TEXT(Configuração!Y8,"[$]ddd"))</f>
        <v>QUA</v>
      </c>
      <c r="C96" s="196"/>
      <c r="D96" s="196"/>
      <c r="E96" s="196"/>
      <c r="F96" s="196"/>
      <c r="G96" s="196"/>
      <c r="H96" s="196"/>
      <c r="I96" s="196"/>
      <c r="J96" s="196"/>
      <c r="K96" s="196"/>
      <c r="L96" s="196"/>
      <c r="M96" s="195" t="str">
        <f>UPPER(TEXT(Configuração!Z8,"[$]ddd"))</f>
        <v>QUI</v>
      </c>
      <c r="N96" s="196"/>
      <c r="O96" s="196"/>
      <c r="P96" s="196"/>
      <c r="Q96" s="196"/>
      <c r="R96" s="196"/>
      <c r="S96" s="196"/>
      <c r="T96" s="196"/>
      <c r="U96" s="196"/>
      <c r="V96" s="197"/>
      <c r="W96" s="195" t="str">
        <f>UPPER(TEXT(Configuração!AA8,"[$]ddd"))</f>
        <v>SEX</v>
      </c>
      <c r="X96" s="196"/>
      <c r="Y96" s="196"/>
      <c r="Z96" s="196"/>
      <c r="AA96" s="196"/>
      <c r="AB96" s="196"/>
      <c r="AC96" s="196"/>
      <c r="AD96" s="196"/>
      <c r="AE96" s="196"/>
      <c r="AF96" s="197"/>
      <c r="AG96" s="195" t="str">
        <f>UPPER(TEXT(Configuração!AB8,"[$]ddd"))</f>
        <v>SÁB</v>
      </c>
      <c r="AH96" s="196"/>
      <c r="AI96" s="196"/>
      <c r="AJ96" s="196"/>
      <c r="AK96" s="196"/>
      <c r="AL96" s="196"/>
      <c r="AM96" s="196"/>
      <c r="AN96" s="196"/>
      <c r="AO96" s="196"/>
      <c r="AP96" s="197"/>
      <c r="AQ96" s="195" t="str">
        <f>UPPER(TEXT(Configuração!AC8,"[$]ddd"))</f>
        <v>DOM</v>
      </c>
      <c r="AR96" s="196"/>
      <c r="AS96" s="196"/>
      <c r="AT96" s="196"/>
      <c r="AU96" s="196"/>
      <c r="AV96" s="196"/>
      <c r="AW96" s="196"/>
      <c r="AX96" s="196"/>
      <c r="AY96" s="196"/>
      <c r="AZ96" s="197"/>
      <c r="BA96" s="195" t="str">
        <f>UPPER(TEXT(Configuração!AD8,"[$]ddd"))</f>
        <v>SEG</v>
      </c>
      <c r="BB96" s="196"/>
      <c r="BC96" s="196"/>
      <c r="BD96" s="196"/>
      <c r="BE96" s="196"/>
      <c r="BF96" s="196"/>
      <c r="BG96" s="196"/>
      <c r="BH96" s="196"/>
      <c r="BI96" s="196"/>
      <c r="BJ96" s="197"/>
      <c r="BK96" s="195" t="str">
        <f>UPPER(TEXT(Configuração!AE8,"[$]ddd"))</f>
        <v>TER</v>
      </c>
      <c r="BL96" s="196"/>
      <c r="BM96" s="196"/>
      <c r="BN96" s="196"/>
      <c r="BO96" s="196"/>
      <c r="BP96" s="196"/>
      <c r="BQ96" s="196"/>
      <c r="BR96" s="196"/>
      <c r="BS96" s="196"/>
      <c r="BT96" s="197"/>
      <c r="BU96" s="1"/>
      <c r="BV96" s="1"/>
    </row>
    <row r="97" spans="1:74" ht="15" customHeight="1" thickBot="1" x14ac:dyDescent="0.25">
      <c r="A97" s="203"/>
      <c r="B97" s="198"/>
      <c r="C97" s="205">
        <f>Configuração!Y9</f>
        <v>45434</v>
      </c>
      <c r="D97" s="206"/>
      <c r="E97" s="206"/>
      <c r="F97" s="206"/>
      <c r="G97" s="206"/>
      <c r="H97" s="206"/>
      <c r="I97" s="206"/>
      <c r="J97" s="206"/>
      <c r="K97" s="206"/>
      <c r="L97" s="207"/>
      <c r="M97" s="205">
        <f>Configuração!Z9</f>
        <v>45435</v>
      </c>
      <c r="N97" s="206"/>
      <c r="O97" s="206"/>
      <c r="P97" s="206"/>
      <c r="Q97" s="206"/>
      <c r="R97" s="206"/>
      <c r="S97" s="206"/>
      <c r="T97" s="206"/>
      <c r="U97" s="206"/>
      <c r="V97" s="207"/>
      <c r="W97" s="205">
        <f>Configuração!AA9</f>
        <v>45436</v>
      </c>
      <c r="X97" s="206"/>
      <c r="Y97" s="206"/>
      <c r="Z97" s="206"/>
      <c r="AA97" s="206"/>
      <c r="AB97" s="206"/>
      <c r="AC97" s="206"/>
      <c r="AD97" s="206"/>
      <c r="AE97" s="206"/>
      <c r="AF97" s="207"/>
      <c r="AG97" s="205">
        <f>Configuração!AB9</f>
        <v>45437</v>
      </c>
      <c r="AH97" s="206"/>
      <c r="AI97" s="206"/>
      <c r="AJ97" s="206"/>
      <c r="AK97" s="206"/>
      <c r="AL97" s="206"/>
      <c r="AM97" s="206"/>
      <c r="AN97" s="206"/>
      <c r="AO97" s="206"/>
      <c r="AP97" s="207"/>
      <c r="AQ97" s="205">
        <f>Configuração!AC9</f>
        <v>45438</v>
      </c>
      <c r="AR97" s="206"/>
      <c r="AS97" s="206"/>
      <c r="AT97" s="206"/>
      <c r="AU97" s="206"/>
      <c r="AV97" s="206"/>
      <c r="AW97" s="206"/>
      <c r="AX97" s="206"/>
      <c r="AY97" s="206"/>
      <c r="AZ97" s="207"/>
      <c r="BA97" s="205">
        <f>Configuração!AD9</f>
        <v>45439</v>
      </c>
      <c r="BB97" s="206"/>
      <c r="BC97" s="206"/>
      <c r="BD97" s="206"/>
      <c r="BE97" s="206"/>
      <c r="BF97" s="206"/>
      <c r="BG97" s="206"/>
      <c r="BH97" s="206"/>
      <c r="BI97" s="206"/>
      <c r="BJ97" s="207"/>
      <c r="BK97" s="205">
        <f>Configuração!AE9</f>
        <v>45440</v>
      </c>
      <c r="BL97" s="206"/>
      <c r="BM97" s="206"/>
      <c r="BN97" s="206"/>
      <c r="BO97" s="206"/>
      <c r="BP97" s="206"/>
      <c r="BQ97" s="206"/>
      <c r="BR97" s="206"/>
      <c r="BS97" s="206"/>
      <c r="BT97" s="207"/>
      <c r="BU97" s="1"/>
      <c r="BV97" s="1"/>
    </row>
    <row r="98" spans="1:74" ht="15" customHeight="1" thickBot="1" x14ac:dyDescent="0.25">
      <c r="A98" s="203"/>
      <c r="B98" s="199"/>
      <c r="C98" s="64">
        <v>1</v>
      </c>
      <c r="D98" s="65">
        <v>2</v>
      </c>
      <c r="E98" s="66">
        <v>3</v>
      </c>
      <c r="F98" s="66">
        <v>4</v>
      </c>
      <c r="G98" s="66">
        <v>5</v>
      </c>
      <c r="H98" s="65">
        <v>6</v>
      </c>
      <c r="I98" s="147">
        <v>7</v>
      </c>
      <c r="J98" s="65">
        <v>8</v>
      </c>
      <c r="K98" s="65">
        <v>9</v>
      </c>
      <c r="L98" s="63">
        <v>10</v>
      </c>
      <c r="M98" s="64">
        <v>1</v>
      </c>
      <c r="N98" s="65">
        <v>2</v>
      </c>
      <c r="O98" s="66">
        <v>3</v>
      </c>
      <c r="P98" s="66">
        <v>4</v>
      </c>
      <c r="Q98" s="66">
        <v>5</v>
      </c>
      <c r="R98" s="65">
        <v>6</v>
      </c>
      <c r="S98" s="147">
        <v>7</v>
      </c>
      <c r="T98" s="65">
        <v>8</v>
      </c>
      <c r="U98" s="65">
        <v>9</v>
      </c>
      <c r="V98" s="63">
        <v>10</v>
      </c>
      <c r="W98" s="64">
        <v>1</v>
      </c>
      <c r="X98" s="65">
        <v>2</v>
      </c>
      <c r="Y98" s="66">
        <v>3</v>
      </c>
      <c r="Z98" s="66">
        <v>4</v>
      </c>
      <c r="AA98" s="66">
        <v>5</v>
      </c>
      <c r="AB98" s="65">
        <v>6</v>
      </c>
      <c r="AC98" s="147">
        <v>7</v>
      </c>
      <c r="AD98" s="65">
        <v>8</v>
      </c>
      <c r="AE98" s="65">
        <v>9</v>
      </c>
      <c r="AF98" s="63">
        <v>10</v>
      </c>
      <c r="AG98" s="64">
        <v>1</v>
      </c>
      <c r="AH98" s="65">
        <v>2</v>
      </c>
      <c r="AI98" s="66">
        <v>3</v>
      </c>
      <c r="AJ98" s="66">
        <v>4</v>
      </c>
      <c r="AK98" s="66">
        <v>5</v>
      </c>
      <c r="AL98" s="65">
        <v>6</v>
      </c>
      <c r="AM98" s="147">
        <v>7</v>
      </c>
      <c r="AN98" s="65">
        <v>8</v>
      </c>
      <c r="AO98" s="65">
        <v>9</v>
      </c>
      <c r="AP98" s="63">
        <v>10</v>
      </c>
      <c r="AQ98" s="64">
        <v>1</v>
      </c>
      <c r="AR98" s="65">
        <v>2</v>
      </c>
      <c r="AS98" s="66">
        <v>3</v>
      </c>
      <c r="AT98" s="66">
        <v>4</v>
      </c>
      <c r="AU98" s="66">
        <v>5</v>
      </c>
      <c r="AV98" s="65">
        <v>6</v>
      </c>
      <c r="AW98" s="147">
        <v>7</v>
      </c>
      <c r="AX98" s="65">
        <v>8</v>
      </c>
      <c r="AY98" s="65">
        <v>9</v>
      </c>
      <c r="AZ98" s="63">
        <v>10</v>
      </c>
      <c r="BA98" s="64">
        <v>1</v>
      </c>
      <c r="BB98" s="65">
        <v>2</v>
      </c>
      <c r="BC98" s="66">
        <v>3</v>
      </c>
      <c r="BD98" s="66">
        <v>4</v>
      </c>
      <c r="BE98" s="66">
        <v>5</v>
      </c>
      <c r="BF98" s="65">
        <v>6</v>
      </c>
      <c r="BG98" s="147">
        <v>7</v>
      </c>
      <c r="BH98" s="65">
        <v>8</v>
      </c>
      <c r="BI98" s="65">
        <v>9</v>
      </c>
      <c r="BJ98" s="63">
        <v>10</v>
      </c>
      <c r="BK98" s="64">
        <v>1</v>
      </c>
      <c r="BL98" s="65">
        <v>2</v>
      </c>
      <c r="BM98" s="66">
        <v>3</v>
      </c>
      <c r="BN98" s="66">
        <v>4</v>
      </c>
      <c r="BO98" s="66">
        <v>5</v>
      </c>
      <c r="BP98" s="65">
        <v>6</v>
      </c>
      <c r="BQ98" s="147">
        <v>7</v>
      </c>
      <c r="BR98" s="65">
        <v>8</v>
      </c>
      <c r="BS98" s="65">
        <v>9</v>
      </c>
      <c r="BT98" s="63">
        <v>10</v>
      </c>
      <c r="BU98" s="1"/>
      <c r="BV98" s="1"/>
    </row>
    <row r="99" spans="1:74" ht="15" customHeight="1" thickBot="1" x14ac:dyDescent="0.25">
      <c r="A99" s="203"/>
      <c r="B99" s="138" t="s">
        <v>1</v>
      </c>
      <c r="C99" s="27"/>
      <c r="D99" s="20"/>
      <c r="E99" s="20"/>
      <c r="F99" s="21"/>
      <c r="G99" s="20"/>
      <c r="H99" s="20"/>
      <c r="I99" s="20"/>
      <c r="J99" s="19"/>
      <c r="K99" s="20"/>
      <c r="L99" s="25"/>
      <c r="M99" s="27"/>
      <c r="N99" s="20"/>
      <c r="O99" s="20"/>
      <c r="P99" s="21"/>
      <c r="Q99" s="20"/>
      <c r="R99" s="20"/>
      <c r="S99" s="20"/>
      <c r="T99" s="19"/>
      <c r="U99" s="20"/>
      <c r="V99" s="25"/>
      <c r="W99" s="27"/>
      <c r="X99" s="20"/>
      <c r="Y99" s="20"/>
      <c r="Z99" s="21"/>
      <c r="AA99" s="20"/>
      <c r="AB99" s="20"/>
      <c r="AC99" s="20"/>
      <c r="AD99" s="19"/>
      <c r="AE99" s="20"/>
      <c r="AF99" s="25"/>
      <c r="AG99" s="27"/>
      <c r="AH99" s="20"/>
      <c r="AI99" s="20"/>
      <c r="AJ99" s="21"/>
      <c r="AK99" s="20"/>
      <c r="AL99" s="20"/>
      <c r="AM99" s="20"/>
      <c r="AN99" s="19"/>
      <c r="AO99" s="20"/>
      <c r="AP99" s="25"/>
      <c r="AQ99" s="27"/>
      <c r="AR99" s="20"/>
      <c r="AS99" s="20"/>
      <c r="AT99" s="21"/>
      <c r="AU99" s="20"/>
      <c r="AV99" s="20"/>
      <c r="AW99" s="20"/>
      <c r="AX99" s="19"/>
      <c r="AY99" s="20"/>
      <c r="AZ99" s="25"/>
      <c r="BA99" s="27"/>
      <c r="BB99" s="20"/>
      <c r="BC99" s="20"/>
      <c r="BD99" s="21"/>
      <c r="BE99" s="20"/>
      <c r="BF99" s="20"/>
      <c r="BG99" s="20"/>
      <c r="BH99" s="19"/>
      <c r="BI99" s="20"/>
      <c r="BJ99" s="25"/>
      <c r="BK99" s="27"/>
      <c r="BL99" s="20"/>
      <c r="BM99" s="20"/>
      <c r="BN99" s="21"/>
      <c r="BO99" s="20"/>
      <c r="BP99" s="20"/>
      <c r="BQ99" s="20"/>
      <c r="BR99" s="19"/>
      <c r="BS99" s="20"/>
      <c r="BT99" s="25"/>
      <c r="BU99" s="1"/>
      <c r="BV99" s="1"/>
    </row>
    <row r="100" spans="1:74" ht="15" customHeight="1" thickBot="1" x14ac:dyDescent="0.25">
      <c r="A100" s="203"/>
      <c r="B100" s="139" t="s">
        <v>75</v>
      </c>
      <c r="C100" s="28"/>
      <c r="D100" s="20"/>
      <c r="E100" s="20"/>
      <c r="F100" s="20"/>
      <c r="G100" s="20"/>
      <c r="H100" s="20"/>
      <c r="I100" s="20"/>
      <c r="J100" s="18"/>
      <c r="K100" s="184" t="str">
        <f>IF(Configuração!Y18=EscalaLinear!BY5,10,IF(Configuração!Y18=BY6,9,IF(Configuração!Y18=BY7,8,IF(Configuração!Y18=BY8,7,IF(Configuração!Y18=BY9,6,IF(Configuração!Y18=BY10,5,IF(Configuração!Y18=BY11,4,IF(Configuração!Y18=BY12,3,IF(Configuração!Y18=BY13,2,IF(Configuração!Y18=BY14,1,""))))))))))</f>
        <v/>
      </c>
      <c r="L100" s="190" t="str">
        <f>IF(Configuração!Y19=EscalaLinear!BY5,10,IF(Configuração!Y19=BY6,9,IF(Configuração!Y19=BY7,8,IF(Configuração!Y19=BY8,7,IF(Configuração!Y19=BY9,6,IF(Configuração!Y19=BY10,5,IF(Configuração!Y19=BY11,4,IF(Configuração!Y19=BY12,3,IF(Configuração!Y19=BY13,2,IF(Configuração!Y19=BY14,1,""))))))))))</f>
        <v/>
      </c>
      <c r="M100" s="28"/>
      <c r="N100" s="20"/>
      <c r="O100" s="20"/>
      <c r="P100" s="20"/>
      <c r="Q100" s="20"/>
      <c r="R100" s="20"/>
      <c r="S100" s="20"/>
      <c r="T100" s="18"/>
      <c r="U100" s="184" t="str">
        <f>IF(Configuração!Z18=EscalaLinear!BY5,10,IF(Configuração!Z18=BY6,9,IF(Configuração!Z18=BY7,8,IF(Configuração!Z18=BY8,7,IF(Configuração!Z18=BY9,6,IF(Configuração!Z18=BY10,5,IF(Configuração!Z18=BY11,4,IF(Configuração!Z18=BY12,3,IF(Configuração!Z18=BY13,2,IF(Configuração!Z18=BY14,1,""))))))))))</f>
        <v/>
      </c>
      <c r="V100" s="190" t="str">
        <f>IF(Configuração!Z19=EscalaLinear!BY5,10,IF(Configuração!Z19=BY6,9,IF(Configuração!Z19=BY7,8,IF(Configuração!Z19=BY8,7,IF(Configuração!Z19=BY9,6,IF(Configuração!Z19=BY10,5,IF(Configuração!Z19=BY11,4,IF(Configuração!Z19=BY12,3,IF(Configuração!Z19=BY13,2,IF(Configuração!Z19=BY14,1,""))))))))))</f>
        <v/>
      </c>
      <c r="W100" s="28"/>
      <c r="X100" s="20"/>
      <c r="Y100" s="20"/>
      <c r="Z100" s="20"/>
      <c r="AA100" s="20"/>
      <c r="AB100" s="20"/>
      <c r="AC100" s="20"/>
      <c r="AD100" s="18"/>
      <c r="AE100" s="184" t="str">
        <f>IF(Configuração!AA18=EscalaLinear!BY5,10,IF(Configuração!AA18=BY6,9,IF(Configuração!AA18=BY7,8,IF(Configuração!AA18=BY8,7,IF(Configuração!AA18=BY9,6,IF(Configuração!AA18=BY10,5,IF(Configuração!AA18=BY11,4,IF(Configuração!AA18=BY12,3,IF(Configuração!AA18=BY13,2,IF(Configuração!AA18=BY14,1,""))))))))))</f>
        <v/>
      </c>
      <c r="AF100" s="190" t="str">
        <f>IF(Configuração!AA19=EscalaLinear!BY5,10,IF(Configuração!AA19=BY6,9,IF(Configuração!AA19=BY7,8,IF(Configuração!AA19=BY8,7,IF(Configuração!AA19=BY9,6,IF(Configuração!AA19=BY10,5,IF(Configuração!AA19=BY11,4,IF(Configuração!AA19=BY12,3,IF(Configuração!AA19=BY13,2,IF(Configuração!AA19=BY14,1,""))))))))))</f>
        <v/>
      </c>
      <c r="AG100" s="28"/>
      <c r="AH100" s="20"/>
      <c r="AI100" s="20"/>
      <c r="AJ100" s="20"/>
      <c r="AK100" s="20"/>
      <c r="AL100" s="20"/>
      <c r="AM100" s="20"/>
      <c r="AN100" s="18"/>
      <c r="AO100" s="184" t="str">
        <f>IF(Configuração!AB18=EscalaLinear!BY5,10,IF(Configuração!AB18=BY6,9,IF(Configuração!AB18=BY7,8,IF(Configuração!AB18=BY8,7,IF(Configuração!AB18=BY9,6,IF(Configuração!AB18=BY10,5,IF(Configuração!AB18=BY11,4,IF(Configuração!AB18=BY12,3,IF(Configuração!AB18=BY13,2,IF(Configuração!AB18=BY14,1,""))))))))))</f>
        <v/>
      </c>
      <c r="AP100" s="190" t="str">
        <f>IF(Configuração!AB19=EscalaLinear!BY5,10,IF(Configuração!AB19=BY6,9,IF(Configuração!AB19=BY7,8,IF(Configuração!AB19=BY8,7,IF(Configuração!AB19=BY9,6,IF(Configuração!AB19=BY10,5,IF(Configuração!AB19=BY11,4,IF(Configuração!AB19=BY12,3,IF(Configuração!AB19=BY13,2,IF(Configuração!AB19=BY14,1,""))))))))))</f>
        <v/>
      </c>
      <c r="AQ100" s="28"/>
      <c r="AR100" s="20"/>
      <c r="AS100" s="20"/>
      <c r="AT100" s="20"/>
      <c r="AU100" s="20"/>
      <c r="AV100" s="20"/>
      <c r="AW100" s="20"/>
      <c r="AX100" s="18"/>
      <c r="AY100" s="184" t="str">
        <f>IF(Configuração!AC18=EscalaLinear!BY5,10,IF(Configuração!AC18=BY6,9,IF(Configuração!AC18=BY7,8,IF(Configuração!AC18=BY8,7,IF(Configuração!AC18=BY9,6,IF(Configuração!AC18=BY10,5,IF(Configuração!AC18=BY11,4,IF(Configuração!AC18=BY12,3,IF(Configuração!AC18=BY13,2,IF(Configuração!AC18=BY14,1,""))))))))))</f>
        <v/>
      </c>
      <c r="AZ100" s="190" t="str">
        <f>IF(Configuração!AC19=EscalaLinear!BY5,10,IF(Configuração!AC19=BY6,9,IF(Configuração!AC19=BY7,8,IF(Configuração!AC19=BY8,7,IF(Configuração!AC19=BY9,6,IF(Configuração!AC19=BY10,5,IF(Configuração!AC19=BY11,4,IF(Configuração!AC19=BY12,3,IF(Configuração!AC19=BY13,2,IF(Configuração!AC19=BY14,1,""))))))))))</f>
        <v/>
      </c>
      <c r="BA100" s="28"/>
      <c r="BB100" s="20"/>
      <c r="BC100" s="20"/>
      <c r="BD100" s="20"/>
      <c r="BE100" s="20"/>
      <c r="BF100" s="20"/>
      <c r="BG100" s="20"/>
      <c r="BH100" s="18"/>
      <c r="BI100" s="184" t="str">
        <f>IF(Configuração!AD18=EscalaLinear!BY5,10,IF(Configuração!AD18=BY6,9,IF(Configuração!AD18=BY7,8,IF(Configuração!AD18=BY8,7,IF(Configuração!AD18=BY9,6,IF(Configuração!AD18=BY10,5,IF(Configuração!AD18=BY11,4,IF(Configuração!AD18=BY12,3,IF(Configuração!AD18=BY13,2,IF(Configuração!AD18=BY14,1,""))))))))))</f>
        <v/>
      </c>
      <c r="BJ100" s="190" t="str">
        <f>IF(Configuração!AD19=EscalaLinear!BY5,10,IF(Configuração!AD19=BY6,9,IF(Configuração!AD19=BY7,8,IF(Configuração!AD19=BY8,7,IF(Configuração!AD19=BY9,6,IF(Configuração!AD19=BY10,5,IF(Configuração!AD19=BY11,4,IF(Configuração!AD19=BY12,3,IF(Configuração!AD19=BY13,2,IF(Configuração!AD19=BY14,1,""))))))))))</f>
        <v/>
      </c>
      <c r="BK100" s="28"/>
      <c r="BL100" s="20"/>
      <c r="BM100" s="20"/>
      <c r="BN100" s="20"/>
      <c r="BO100" s="20"/>
      <c r="BP100" s="20"/>
      <c r="BQ100" s="20"/>
      <c r="BR100" s="18"/>
      <c r="BS100" s="184" t="str">
        <f>IF(Configuração!AE18=EscalaLinear!BY5,10,IF(Configuração!AE18=BY6,9,IF(Configuração!AE18=BY7,8,IF(Configuração!AE18=BY8,7,IF(Configuração!AE18=BY9,6,IF(Configuração!AE18=BY10,5,IF(Configuração!AE18=BY11,4,IF(Configuração!AE18=BY12,3,IF(Configuração!AE18=BY13,2,IF(Configuração!AE18=BY14,1,""))))))))))</f>
        <v/>
      </c>
      <c r="BT100" s="190" t="str">
        <f>IF(Configuração!AE19=EscalaLinear!BY5,10,IF(Configuração!AE19=BY6,9,IF(Configuração!AE19=BY7,8,IF(Configuração!AE19=BY8,7,IF(Configuração!AE19=BY9,6,IF(Configuração!AE19=BY10,5,IF(Configuração!AE19=BY11,4,IF(Configuração!AE19=BY12,3,IF(Configuração!AE19=BY13,2,IF(Configuração!AE19=BY14,1,""))))))))))</f>
        <v/>
      </c>
      <c r="BU100" s="1"/>
      <c r="BV100" s="1"/>
    </row>
    <row r="101" spans="1:74" ht="15" customHeight="1" thickBot="1" x14ac:dyDescent="0.25">
      <c r="A101" s="203"/>
      <c r="B101" s="138" t="s">
        <v>2</v>
      </c>
      <c r="C101" s="28"/>
      <c r="D101" s="20"/>
      <c r="E101" s="20"/>
      <c r="F101" s="20"/>
      <c r="G101" s="20"/>
      <c r="H101" s="20"/>
      <c r="I101" s="20"/>
      <c r="J101" s="18"/>
      <c r="K101" s="185"/>
      <c r="L101" s="191"/>
      <c r="M101" s="28"/>
      <c r="N101" s="20"/>
      <c r="O101" s="20"/>
      <c r="P101" s="20"/>
      <c r="Q101" s="20"/>
      <c r="R101" s="20"/>
      <c r="S101" s="20"/>
      <c r="T101" s="18"/>
      <c r="U101" s="185"/>
      <c r="V101" s="191"/>
      <c r="W101" s="28"/>
      <c r="X101" s="20"/>
      <c r="Y101" s="20"/>
      <c r="Z101" s="20"/>
      <c r="AA101" s="20"/>
      <c r="AB101" s="20"/>
      <c r="AC101" s="20"/>
      <c r="AD101" s="18"/>
      <c r="AE101" s="185"/>
      <c r="AF101" s="191"/>
      <c r="AG101" s="28"/>
      <c r="AH101" s="20"/>
      <c r="AI101" s="20"/>
      <c r="AJ101" s="20"/>
      <c r="AK101" s="20"/>
      <c r="AL101" s="20"/>
      <c r="AM101" s="20"/>
      <c r="AN101" s="18"/>
      <c r="AO101" s="185"/>
      <c r="AP101" s="191"/>
      <c r="AQ101" s="28"/>
      <c r="AR101" s="20"/>
      <c r="AS101" s="20"/>
      <c r="AT101" s="20"/>
      <c r="AU101" s="20"/>
      <c r="AV101" s="20"/>
      <c r="AW101" s="20"/>
      <c r="AX101" s="18"/>
      <c r="AY101" s="185"/>
      <c r="AZ101" s="191"/>
      <c r="BA101" s="28"/>
      <c r="BB101" s="20"/>
      <c r="BC101" s="20"/>
      <c r="BD101" s="20"/>
      <c r="BE101" s="20"/>
      <c r="BF101" s="20"/>
      <c r="BG101" s="20"/>
      <c r="BH101" s="18"/>
      <c r="BI101" s="185"/>
      <c r="BJ101" s="191"/>
      <c r="BK101" s="28"/>
      <c r="BL101" s="20"/>
      <c r="BM101" s="20"/>
      <c r="BN101" s="20"/>
      <c r="BO101" s="20"/>
      <c r="BP101" s="20"/>
      <c r="BQ101" s="20"/>
      <c r="BR101" s="18"/>
      <c r="BS101" s="185"/>
      <c r="BT101" s="191"/>
      <c r="BU101" s="1"/>
      <c r="BV101" s="1"/>
    </row>
    <row r="102" spans="1:74" ht="15" customHeight="1" thickBot="1" x14ac:dyDescent="0.25">
      <c r="A102" s="203"/>
      <c r="B102" s="138" t="s">
        <v>3</v>
      </c>
      <c r="C102" s="28"/>
      <c r="D102" s="20"/>
      <c r="E102" s="20"/>
      <c r="F102" s="20"/>
      <c r="G102" s="20"/>
      <c r="H102" s="20"/>
      <c r="I102" s="20"/>
      <c r="J102" s="18"/>
      <c r="K102" s="185"/>
      <c r="L102" s="191"/>
      <c r="M102" s="28"/>
      <c r="N102" s="20"/>
      <c r="O102" s="20"/>
      <c r="P102" s="20"/>
      <c r="Q102" s="20"/>
      <c r="R102" s="20"/>
      <c r="S102" s="20"/>
      <c r="T102" s="18"/>
      <c r="U102" s="185"/>
      <c r="V102" s="191"/>
      <c r="W102" s="28"/>
      <c r="X102" s="20"/>
      <c r="Y102" s="20"/>
      <c r="Z102" s="20"/>
      <c r="AA102" s="20"/>
      <c r="AB102" s="20"/>
      <c r="AC102" s="20"/>
      <c r="AD102" s="18"/>
      <c r="AE102" s="185"/>
      <c r="AF102" s="191"/>
      <c r="AG102" s="28"/>
      <c r="AH102" s="20"/>
      <c r="AI102" s="20"/>
      <c r="AJ102" s="20"/>
      <c r="AK102" s="20"/>
      <c r="AL102" s="20"/>
      <c r="AM102" s="20"/>
      <c r="AN102" s="18"/>
      <c r="AO102" s="185"/>
      <c r="AP102" s="191"/>
      <c r="AQ102" s="28"/>
      <c r="AR102" s="20"/>
      <c r="AS102" s="20"/>
      <c r="AT102" s="20"/>
      <c r="AU102" s="20"/>
      <c r="AV102" s="20"/>
      <c r="AW102" s="20"/>
      <c r="AX102" s="18"/>
      <c r="AY102" s="185"/>
      <c r="AZ102" s="191"/>
      <c r="BA102" s="28"/>
      <c r="BB102" s="20"/>
      <c r="BC102" s="20"/>
      <c r="BD102" s="20"/>
      <c r="BE102" s="20"/>
      <c r="BF102" s="20"/>
      <c r="BG102" s="20"/>
      <c r="BH102" s="18"/>
      <c r="BI102" s="185"/>
      <c r="BJ102" s="191"/>
      <c r="BK102" s="28"/>
      <c r="BL102" s="20"/>
      <c r="BM102" s="20"/>
      <c r="BN102" s="20"/>
      <c r="BO102" s="20"/>
      <c r="BP102" s="20"/>
      <c r="BQ102" s="20"/>
      <c r="BR102" s="18"/>
      <c r="BS102" s="185"/>
      <c r="BT102" s="191"/>
      <c r="BU102" s="1"/>
      <c r="BV102" s="1"/>
    </row>
    <row r="103" spans="1:74" ht="15" customHeight="1" thickBot="1" x14ac:dyDescent="0.25">
      <c r="A103" s="203"/>
      <c r="B103" s="138" t="s">
        <v>4</v>
      </c>
      <c r="C103" s="28"/>
      <c r="D103" s="20"/>
      <c r="E103" s="20"/>
      <c r="F103" s="20"/>
      <c r="G103" s="20"/>
      <c r="H103" s="20"/>
      <c r="I103" s="20"/>
      <c r="J103" s="18"/>
      <c r="K103" s="185"/>
      <c r="L103" s="191"/>
      <c r="M103" s="28"/>
      <c r="N103" s="20"/>
      <c r="O103" s="20"/>
      <c r="P103" s="20"/>
      <c r="Q103" s="20"/>
      <c r="R103" s="20"/>
      <c r="S103" s="20"/>
      <c r="T103" s="18"/>
      <c r="U103" s="185"/>
      <c r="V103" s="191"/>
      <c r="W103" s="28"/>
      <c r="X103" s="20"/>
      <c r="Y103" s="20"/>
      <c r="Z103" s="20"/>
      <c r="AA103" s="20"/>
      <c r="AB103" s="20"/>
      <c r="AC103" s="20"/>
      <c r="AD103" s="18"/>
      <c r="AE103" s="185"/>
      <c r="AF103" s="191"/>
      <c r="AG103" s="28"/>
      <c r="AH103" s="20"/>
      <c r="AI103" s="20"/>
      <c r="AJ103" s="20"/>
      <c r="AK103" s="20"/>
      <c r="AL103" s="20"/>
      <c r="AM103" s="20"/>
      <c r="AN103" s="18"/>
      <c r="AO103" s="185"/>
      <c r="AP103" s="191"/>
      <c r="AQ103" s="28"/>
      <c r="AR103" s="20"/>
      <c r="AS103" s="20"/>
      <c r="AT103" s="20"/>
      <c r="AU103" s="20"/>
      <c r="AV103" s="20"/>
      <c r="AW103" s="20"/>
      <c r="AX103" s="18"/>
      <c r="AY103" s="185"/>
      <c r="AZ103" s="191"/>
      <c r="BA103" s="28"/>
      <c r="BB103" s="20"/>
      <c r="BC103" s="20"/>
      <c r="BD103" s="20"/>
      <c r="BE103" s="20"/>
      <c r="BF103" s="20"/>
      <c r="BG103" s="20"/>
      <c r="BH103" s="18"/>
      <c r="BI103" s="185"/>
      <c r="BJ103" s="191"/>
      <c r="BK103" s="28"/>
      <c r="BL103" s="20"/>
      <c r="BM103" s="20"/>
      <c r="BN103" s="20"/>
      <c r="BO103" s="20"/>
      <c r="BP103" s="20"/>
      <c r="BQ103" s="20"/>
      <c r="BR103" s="18"/>
      <c r="BS103" s="185"/>
      <c r="BT103" s="191"/>
      <c r="BU103" s="1"/>
      <c r="BV103" s="1"/>
    </row>
    <row r="104" spans="1:74" ht="15" customHeight="1" thickBot="1" x14ac:dyDescent="0.25">
      <c r="A104" s="203"/>
      <c r="B104" s="138" t="s">
        <v>5</v>
      </c>
      <c r="C104" s="28"/>
      <c r="D104" s="20"/>
      <c r="E104" s="20"/>
      <c r="F104" s="20"/>
      <c r="G104" s="20"/>
      <c r="H104" s="22"/>
      <c r="I104" s="20"/>
      <c r="J104" s="18"/>
      <c r="K104" s="185"/>
      <c r="L104" s="191"/>
      <c r="M104" s="28"/>
      <c r="N104" s="20"/>
      <c r="O104" s="20"/>
      <c r="P104" s="20"/>
      <c r="Q104" s="20"/>
      <c r="R104" s="22"/>
      <c r="S104" s="20"/>
      <c r="T104" s="18"/>
      <c r="U104" s="185"/>
      <c r="V104" s="191"/>
      <c r="W104" s="28"/>
      <c r="X104" s="20"/>
      <c r="Y104" s="20"/>
      <c r="Z104" s="20"/>
      <c r="AA104" s="20"/>
      <c r="AB104" s="22"/>
      <c r="AC104" s="20"/>
      <c r="AD104" s="18"/>
      <c r="AE104" s="185"/>
      <c r="AF104" s="191"/>
      <c r="AG104" s="28"/>
      <c r="AH104" s="20"/>
      <c r="AI104" s="20"/>
      <c r="AJ104" s="20"/>
      <c r="AK104" s="20"/>
      <c r="AL104" s="22"/>
      <c r="AM104" s="20"/>
      <c r="AN104" s="18"/>
      <c r="AO104" s="185"/>
      <c r="AP104" s="191"/>
      <c r="AQ104" s="28"/>
      <c r="AR104" s="20"/>
      <c r="AS104" s="20"/>
      <c r="AT104" s="20"/>
      <c r="AU104" s="20"/>
      <c r="AV104" s="22"/>
      <c r="AW104" s="20"/>
      <c r="AX104" s="18"/>
      <c r="AY104" s="185"/>
      <c r="AZ104" s="191"/>
      <c r="BA104" s="28"/>
      <c r="BB104" s="20"/>
      <c r="BC104" s="20"/>
      <c r="BD104" s="20"/>
      <c r="BE104" s="20"/>
      <c r="BF104" s="22"/>
      <c r="BG104" s="20"/>
      <c r="BH104" s="18"/>
      <c r="BI104" s="185"/>
      <c r="BJ104" s="191"/>
      <c r="BK104" s="28"/>
      <c r="BL104" s="20"/>
      <c r="BM104" s="20"/>
      <c r="BN104" s="20"/>
      <c r="BO104" s="20"/>
      <c r="BP104" s="22"/>
      <c r="BQ104" s="20"/>
      <c r="BR104" s="18"/>
      <c r="BS104" s="185"/>
      <c r="BT104" s="191"/>
      <c r="BU104" s="1"/>
      <c r="BV104" s="1"/>
    </row>
    <row r="105" spans="1:74" ht="15" customHeight="1" thickBot="1" x14ac:dyDescent="0.25">
      <c r="A105" s="203"/>
      <c r="B105" s="138" t="s">
        <v>6</v>
      </c>
      <c r="C105" s="28"/>
      <c r="D105" s="20"/>
      <c r="E105" s="20"/>
      <c r="F105" s="20"/>
      <c r="G105" s="20"/>
      <c r="H105" s="22"/>
      <c r="I105" s="20"/>
      <c r="J105" s="18"/>
      <c r="K105" s="185"/>
      <c r="L105" s="191"/>
      <c r="M105" s="28"/>
      <c r="N105" s="20"/>
      <c r="O105" s="20"/>
      <c r="P105" s="20"/>
      <c r="Q105" s="20"/>
      <c r="R105" s="22"/>
      <c r="S105" s="20"/>
      <c r="T105" s="18"/>
      <c r="U105" s="185"/>
      <c r="V105" s="191"/>
      <c r="W105" s="28"/>
      <c r="X105" s="20"/>
      <c r="Y105" s="20"/>
      <c r="Z105" s="20"/>
      <c r="AA105" s="20"/>
      <c r="AB105" s="22"/>
      <c r="AC105" s="20"/>
      <c r="AD105" s="18"/>
      <c r="AE105" s="185"/>
      <c r="AF105" s="191"/>
      <c r="AG105" s="28"/>
      <c r="AH105" s="20"/>
      <c r="AI105" s="20"/>
      <c r="AJ105" s="20"/>
      <c r="AK105" s="20"/>
      <c r="AL105" s="22"/>
      <c r="AM105" s="20"/>
      <c r="AN105" s="18"/>
      <c r="AO105" s="185"/>
      <c r="AP105" s="191"/>
      <c r="AQ105" s="28"/>
      <c r="AR105" s="20"/>
      <c r="AS105" s="20"/>
      <c r="AT105" s="20"/>
      <c r="AU105" s="20"/>
      <c r="AV105" s="22"/>
      <c r="AW105" s="20"/>
      <c r="AX105" s="18"/>
      <c r="AY105" s="185"/>
      <c r="AZ105" s="191"/>
      <c r="BA105" s="28"/>
      <c r="BB105" s="20"/>
      <c r="BC105" s="20"/>
      <c r="BD105" s="20"/>
      <c r="BE105" s="20"/>
      <c r="BF105" s="22"/>
      <c r="BG105" s="20"/>
      <c r="BH105" s="18"/>
      <c r="BI105" s="185"/>
      <c r="BJ105" s="191"/>
      <c r="BK105" s="28"/>
      <c r="BL105" s="20"/>
      <c r="BM105" s="20"/>
      <c r="BN105" s="20"/>
      <c r="BO105" s="20"/>
      <c r="BP105" s="22"/>
      <c r="BQ105" s="20"/>
      <c r="BR105" s="18"/>
      <c r="BS105" s="185"/>
      <c r="BT105" s="191"/>
      <c r="BU105" s="1"/>
      <c r="BV105" s="1"/>
    </row>
    <row r="106" spans="1:74" ht="15" customHeight="1" thickBot="1" x14ac:dyDescent="0.25">
      <c r="A106" s="203"/>
      <c r="B106" s="138" t="s">
        <v>7</v>
      </c>
      <c r="C106" s="28"/>
      <c r="D106" s="20"/>
      <c r="E106" s="20"/>
      <c r="F106" s="20"/>
      <c r="G106" s="20"/>
      <c r="H106" s="22"/>
      <c r="I106" s="20"/>
      <c r="J106" s="18"/>
      <c r="K106" s="185"/>
      <c r="L106" s="191"/>
      <c r="M106" s="28"/>
      <c r="N106" s="20"/>
      <c r="O106" s="20"/>
      <c r="P106" s="20"/>
      <c r="Q106" s="20"/>
      <c r="R106" s="22"/>
      <c r="S106" s="20"/>
      <c r="T106" s="18"/>
      <c r="U106" s="185"/>
      <c r="V106" s="191"/>
      <c r="W106" s="28"/>
      <c r="X106" s="20"/>
      <c r="Y106" s="20"/>
      <c r="Z106" s="20"/>
      <c r="AA106" s="20"/>
      <c r="AB106" s="22"/>
      <c r="AC106" s="20"/>
      <c r="AD106" s="18"/>
      <c r="AE106" s="185"/>
      <c r="AF106" s="191"/>
      <c r="AG106" s="28"/>
      <c r="AH106" s="20"/>
      <c r="AI106" s="20"/>
      <c r="AJ106" s="20"/>
      <c r="AK106" s="20"/>
      <c r="AL106" s="22"/>
      <c r="AM106" s="20"/>
      <c r="AN106" s="18"/>
      <c r="AO106" s="185"/>
      <c r="AP106" s="191"/>
      <c r="AQ106" s="28"/>
      <c r="AR106" s="20"/>
      <c r="AS106" s="20"/>
      <c r="AT106" s="20"/>
      <c r="AU106" s="20"/>
      <c r="AV106" s="22"/>
      <c r="AW106" s="20"/>
      <c r="AX106" s="18"/>
      <c r="AY106" s="185"/>
      <c r="AZ106" s="191"/>
      <c r="BA106" s="28"/>
      <c r="BB106" s="20"/>
      <c r="BC106" s="20"/>
      <c r="BD106" s="20"/>
      <c r="BE106" s="20"/>
      <c r="BF106" s="22"/>
      <c r="BG106" s="20"/>
      <c r="BH106" s="18"/>
      <c r="BI106" s="185"/>
      <c r="BJ106" s="191"/>
      <c r="BK106" s="28"/>
      <c r="BL106" s="20"/>
      <c r="BM106" s="20"/>
      <c r="BN106" s="20"/>
      <c r="BO106" s="20"/>
      <c r="BP106" s="22"/>
      <c r="BQ106" s="20"/>
      <c r="BR106" s="18"/>
      <c r="BS106" s="185"/>
      <c r="BT106" s="191"/>
      <c r="BU106" s="1"/>
      <c r="BV106" s="1"/>
    </row>
    <row r="107" spans="1:74" ht="15" customHeight="1" thickBot="1" x14ac:dyDescent="0.25">
      <c r="A107" s="203"/>
      <c r="B107" s="138" t="s">
        <v>8</v>
      </c>
      <c r="C107" s="27"/>
      <c r="D107" s="20"/>
      <c r="E107" s="20"/>
      <c r="F107" s="21"/>
      <c r="G107" s="20"/>
      <c r="H107" s="20"/>
      <c r="I107" s="20"/>
      <c r="J107" s="19"/>
      <c r="K107" s="185"/>
      <c r="L107" s="191"/>
      <c r="M107" s="27"/>
      <c r="N107" s="20"/>
      <c r="O107" s="20"/>
      <c r="P107" s="21"/>
      <c r="Q107" s="20"/>
      <c r="R107" s="20"/>
      <c r="S107" s="20"/>
      <c r="T107" s="19"/>
      <c r="U107" s="185"/>
      <c r="V107" s="191"/>
      <c r="W107" s="27"/>
      <c r="X107" s="20"/>
      <c r="Y107" s="20"/>
      <c r="Z107" s="21"/>
      <c r="AA107" s="20"/>
      <c r="AB107" s="20"/>
      <c r="AC107" s="20"/>
      <c r="AD107" s="19"/>
      <c r="AE107" s="185"/>
      <c r="AF107" s="191"/>
      <c r="AG107" s="27"/>
      <c r="AH107" s="20"/>
      <c r="AI107" s="20"/>
      <c r="AJ107" s="21"/>
      <c r="AK107" s="20"/>
      <c r="AL107" s="20"/>
      <c r="AM107" s="20"/>
      <c r="AN107" s="19"/>
      <c r="AO107" s="185"/>
      <c r="AP107" s="191"/>
      <c r="AQ107" s="27"/>
      <c r="AR107" s="20"/>
      <c r="AS107" s="20"/>
      <c r="AT107" s="21"/>
      <c r="AU107" s="20"/>
      <c r="AV107" s="20"/>
      <c r="AW107" s="20"/>
      <c r="AX107" s="19"/>
      <c r="AY107" s="185"/>
      <c r="AZ107" s="191"/>
      <c r="BA107" s="27"/>
      <c r="BB107" s="20"/>
      <c r="BC107" s="20"/>
      <c r="BD107" s="21"/>
      <c r="BE107" s="20"/>
      <c r="BF107" s="20"/>
      <c r="BG107" s="20"/>
      <c r="BH107" s="19"/>
      <c r="BI107" s="185"/>
      <c r="BJ107" s="191"/>
      <c r="BK107" s="27"/>
      <c r="BL107" s="20"/>
      <c r="BM107" s="20"/>
      <c r="BN107" s="21"/>
      <c r="BO107" s="20"/>
      <c r="BP107" s="20"/>
      <c r="BQ107" s="20"/>
      <c r="BR107" s="19"/>
      <c r="BS107" s="185"/>
      <c r="BT107" s="191"/>
      <c r="BU107" s="1"/>
      <c r="BV107" s="1"/>
    </row>
    <row r="108" spans="1:74" ht="15" customHeight="1" thickBot="1" x14ac:dyDescent="0.25">
      <c r="A108" s="203"/>
      <c r="B108" s="138" t="s">
        <v>9</v>
      </c>
      <c r="C108" s="28"/>
      <c r="D108" s="20"/>
      <c r="E108" s="20"/>
      <c r="F108" s="20"/>
      <c r="G108" s="20"/>
      <c r="H108" s="20"/>
      <c r="I108" s="20"/>
      <c r="J108" s="18"/>
      <c r="K108" s="185"/>
      <c r="L108" s="191"/>
      <c r="M108" s="20"/>
      <c r="N108" s="20"/>
      <c r="O108" s="20"/>
      <c r="P108" s="20"/>
      <c r="Q108" s="20"/>
      <c r="R108" s="20"/>
      <c r="S108" s="20"/>
      <c r="T108" s="18"/>
      <c r="U108" s="185"/>
      <c r="V108" s="191"/>
      <c r="W108" s="28"/>
      <c r="X108" s="20"/>
      <c r="Y108" s="20"/>
      <c r="Z108" s="20"/>
      <c r="AA108" s="20"/>
      <c r="AB108" s="20"/>
      <c r="AC108" s="20"/>
      <c r="AD108" s="18"/>
      <c r="AE108" s="185"/>
      <c r="AF108" s="191"/>
      <c r="AG108" s="20"/>
      <c r="AH108" s="20"/>
      <c r="AI108" s="20"/>
      <c r="AJ108" s="20"/>
      <c r="AK108" s="20"/>
      <c r="AL108" s="20"/>
      <c r="AM108" s="20"/>
      <c r="AN108" s="18"/>
      <c r="AO108" s="185"/>
      <c r="AP108" s="191"/>
      <c r="AQ108" s="28"/>
      <c r="AR108" s="20"/>
      <c r="AS108" s="20"/>
      <c r="AT108" s="20"/>
      <c r="AU108" s="20"/>
      <c r="AV108" s="20"/>
      <c r="AW108" s="20"/>
      <c r="AX108" s="18"/>
      <c r="AY108" s="185"/>
      <c r="AZ108" s="191"/>
      <c r="BA108" s="20"/>
      <c r="BB108" s="20"/>
      <c r="BC108" s="20"/>
      <c r="BD108" s="20"/>
      <c r="BE108" s="20"/>
      <c r="BF108" s="20"/>
      <c r="BG108" s="20"/>
      <c r="BH108" s="18"/>
      <c r="BI108" s="185"/>
      <c r="BJ108" s="191"/>
      <c r="BK108" s="20"/>
      <c r="BL108" s="20"/>
      <c r="BM108" s="20"/>
      <c r="BN108" s="20"/>
      <c r="BO108" s="20"/>
      <c r="BP108" s="20"/>
      <c r="BQ108" s="20"/>
      <c r="BR108" s="18"/>
      <c r="BS108" s="185"/>
      <c r="BT108" s="191"/>
      <c r="BU108" s="1"/>
      <c r="BV108" s="1"/>
    </row>
    <row r="109" spans="1:74" ht="15" customHeight="1" thickBot="1" x14ac:dyDescent="0.25">
      <c r="A109" s="203"/>
      <c r="B109" s="139" t="s">
        <v>10</v>
      </c>
      <c r="C109" s="181">
        <f>IF(Configuração!Y10=EscalaLinear!BY5,10,IF(Configuração!Y10=BY6,9,IF(Configuração!Y10=BY7,8,IF(Configuração!Y10=BY8,7,IF(Configuração!Y10=BY9,6,IF(Configuração!Y10=BY10,5,IF(Configuração!Y10=BY11,4,IF(Configuração!Y10=BY12,3,IF(Configuração!Y10=BY13,2,IF(Configuração!Y10=BY14,1,""))))))))))</f>
        <v>1</v>
      </c>
      <c r="D109" s="184" t="str">
        <f>IF(Configuração!Y11=EscalaLinear!BY5,10,IF(Configuração!Y11=BY6,9,IF(Configuração!Y11=BY7,8,IF(Configuração!Y11=BY8,7,IF(Configuração!Y11=BY9,6,IF(Configuração!Y11=BY10,5,IF(Configuração!Y11=BY11,4,IF(Configuração!Y11=BY12,3,IF(Configuração!Y11=BY13,2,IF(Configuração!Y11=BY14,1,""))))))))))</f>
        <v/>
      </c>
      <c r="E109" s="20"/>
      <c r="F109" s="20"/>
      <c r="G109" s="20"/>
      <c r="H109" s="20"/>
      <c r="I109" s="20"/>
      <c r="J109" s="18"/>
      <c r="K109" s="185"/>
      <c r="L109" s="191"/>
      <c r="M109" s="181">
        <f>IF(Configuração!Z10=EscalaLinear!BY5,10,IF(Configuração!Z10=BY6,9,IF(Configuração!Z10=BY7,8,IF(Configuração!Z10=BY8,7,IF(Configuração!Z10=BY9,6,IF(Configuração!Z10=BY10,5,IF(Configuração!Z10=BY11,4,IF(Configuração!Z10=BY12,3,IF(Configuração!Z10=BY13,2,IF(Configuração!Z10=BY14,1,""))))))))))</f>
        <v>1</v>
      </c>
      <c r="N109" s="184" t="str">
        <f>IF(Configuração!Z11=EscalaLinear!BY5,10,IF(Configuração!Z11=BY6,9,IF(Configuração!Z11=BY7,8,IF(Configuração!Z11=BY8,7,IF(Configuração!Z11=BY9,6,IF(Configuração!Z11=BY10,5,IF(Configuração!Z11=BY11,4,IF(Configuração!Z11=BY12,3,IF(Configuração!Z11=BY13,2,IF(Configuração!Z11=BY14,1,""))))))))))</f>
        <v/>
      </c>
      <c r="O109" s="20"/>
      <c r="P109" s="20"/>
      <c r="Q109" s="20"/>
      <c r="R109" s="20"/>
      <c r="S109" s="20"/>
      <c r="T109" s="18"/>
      <c r="U109" s="185"/>
      <c r="V109" s="191"/>
      <c r="W109" s="181">
        <f>IF(Configuração!AA10=EscalaLinear!BY5,10,IF(Configuração!AA10=BY6,9,IF(Configuração!AA10=BY7,8,IF(Configuração!AA10=BY8,7,IF(Configuração!AA10=BY9,6,IF(Configuração!AA10=BY10,5,IF(Configuração!AA10=BY11,4,IF(Configuração!AA10=BY12,3,IF(Configuração!AA10=BY13,2,IF(Configuração!AA10=BY14,1,""))))))))))</f>
        <v>1</v>
      </c>
      <c r="X109" s="184" t="str">
        <f>IF(Configuração!AA11=EscalaLinear!BY5,10,IF(Configuração!AA11=BY6,9,IF(Configuração!AA11=BY7,8,IF(Configuração!AA11=BY8,7,IF(Configuração!AA11=BY9,6,IF(Configuração!AA11=BY10,5,IF(Configuração!AA11=BY11,4,IF(Configuração!AA11=BY12,3,IF(Configuração!AA11=BY13,2,IF(Configuração!AA11=BY14,1,""))))))))))</f>
        <v/>
      </c>
      <c r="Y109" s="20"/>
      <c r="Z109" s="20"/>
      <c r="AA109" s="20"/>
      <c r="AB109" s="20"/>
      <c r="AC109" s="20"/>
      <c r="AD109" s="18"/>
      <c r="AE109" s="185"/>
      <c r="AF109" s="191"/>
      <c r="AG109" s="181">
        <f>IF(Configuração!AB10=EscalaLinear!BY5,10,IF(Configuração!AB10=BY6,9,IF(Configuração!AB10=BY7,8,IF(Configuração!AB10=BY8,7,IF(Configuração!AB10=BY9,6,IF(Configuração!AB10=BY10,5,IF(Configuração!AB10=BY11,4,IF(Configuração!AB10=BY12,3,IF(Configuração!AB10=BY13,2,IF(Configuração!AB10=BY14,1,""))))))))))</f>
        <v>1</v>
      </c>
      <c r="AH109" s="184" t="str">
        <f>IF(Configuração!AB11=EscalaLinear!BY5,10,IF(Configuração!AB11=BY6,9,IF(Configuração!AB11=BY7,8,IF(Configuração!AB11=BY8,7,IF(Configuração!AB11=BY9,6,IF(Configuração!AB11=BY10,5,IF(Configuração!AB11=BY11,4,IF(Configuração!AB11=BY12,3,IF(Configuração!AB11=BY13,2,IF(Configuração!AB11=BY14,1,""))))))))))</f>
        <v/>
      </c>
      <c r="AI109" s="20"/>
      <c r="AJ109" s="20"/>
      <c r="AK109" s="20"/>
      <c r="AL109" s="20"/>
      <c r="AM109" s="20"/>
      <c r="AN109" s="18"/>
      <c r="AO109" s="185"/>
      <c r="AP109" s="191"/>
      <c r="AQ109" s="181">
        <f>IF(Configuração!AC10=EscalaLinear!BY5,10,IF(Configuração!AC10=BY6,9,IF(Configuração!AC10=BY7,8,IF(Configuração!AC10=BY8,7,IF(Configuração!AC10=BY9,6,IF(Configuração!AC10=BY10,5,IF(Configuração!AC10=BY11,4,IF(Configuração!AC10=BY12,3,IF(Configuração!AC10=BY13,2,IF(Configuração!AC10=BY14,1,""))))))))))</f>
        <v>1</v>
      </c>
      <c r="AR109" s="184" t="str">
        <f>IF(Configuração!AC11=EscalaLinear!BY5,10,IF(Configuração!AC11=BY6,9,IF(Configuração!AC11=BY7,8,IF(Configuração!AC11=BY8,7,IF(Configuração!AC11=BY9,6,IF(Configuração!AC11=BY10,5,IF(Configuração!AC11=BY11,4,IF(Configuração!AC11=BY12,3,IF(Configuração!AC11=BY13,2,IF(Configuração!AC11=BY14,1,""))))))))))</f>
        <v/>
      </c>
      <c r="AS109" s="20"/>
      <c r="AT109" s="20"/>
      <c r="AU109" s="20"/>
      <c r="AV109" s="20"/>
      <c r="AW109" s="20"/>
      <c r="AX109" s="18"/>
      <c r="AY109" s="185"/>
      <c r="AZ109" s="191"/>
      <c r="BA109" s="181">
        <f>IF(Configuração!AD10=EscalaLinear!BY5,10,IF(Configuração!AD10=BY6,9,IF(Configuração!AD10=BY7,8,IF(Configuração!AD10=BY8,7,IF(Configuração!AD10=BY9,6,IF(Configuração!AD10=BY10,5,IF(Configuração!AD10=BY11,4,IF(Configuração!AD10=BY12,3,IF(Configuração!AD10=BY13,2,IF(Configuração!AD10=BY14,1,""))))))))))</f>
        <v>1</v>
      </c>
      <c r="BB109" s="184" t="str">
        <f>IF(Configuração!AD11=EscalaLinear!BY5,10,IF(Configuração!AD11=BY6,9,IF(Configuração!AD11=BY7,8,IF(Configuração!AD11=BY8,7,IF(Configuração!AD11=BY9,6,IF(Configuração!AD11=BY10,5,IF(Configuração!AD11=BY11,4,IF(Configuração!AD11=BY12,3,IF(Configuração!AD11=BY13,2,IF(Configuração!AD11=BY14,1,""))))))))))</f>
        <v/>
      </c>
      <c r="BC109" s="20"/>
      <c r="BD109" s="20"/>
      <c r="BE109" s="20"/>
      <c r="BF109" s="20"/>
      <c r="BG109" s="20"/>
      <c r="BH109" s="18"/>
      <c r="BI109" s="185"/>
      <c r="BJ109" s="191"/>
      <c r="BK109" s="181">
        <f>IF(Configuração!AE10=EscalaLinear!BY5,10,IF(Configuração!AE10=BY6,9,IF(Configuração!AE10=BY7,8,IF(Configuração!AE10=BY8,7,IF(Configuração!AE10=BY9,6,IF(Configuração!AE10=BY10,5,IF(Configuração!AE10=BY11,4,IF(Configuração!AE10=BY12,3,IF(Configuração!AE10=BY13,2,IF(Configuração!AE10=BY14,1,""))))))))))</f>
        <v>1</v>
      </c>
      <c r="BL109" s="184" t="str">
        <f>IF(Configuração!AE11=EscalaLinear!BY5,10,IF(Configuração!AE11=BY6,9,IF(Configuração!AE11=BY7,8,IF(Configuração!AE11=BY8,7,IF(Configuração!AE11=BY9,6,IF(Configuração!AE11=BY10,5,IF(Configuração!AE11=BY11,4,IF(Configuração!AE11=BY12,3,IF(Configuração!AE11=BY13,2,IF(Configuração!AE11=BY14,1,""))))))))))</f>
        <v/>
      </c>
      <c r="BM109" s="20"/>
      <c r="BN109" s="20"/>
      <c r="BO109" s="20"/>
      <c r="BP109" s="20"/>
      <c r="BQ109" s="20"/>
      <c r="BR109" s="18"/>
      <c r="BS109" s="185"/>
      <c r="BT109" s="191"/>
      <c r="BU109" s="1"/>
      <c r="BV109" s="1"/>
    </row>
    <row r="110" spans="1:74" ht="15" customHeight="1" thickBot="1" x14ac:dyDescent="0.25">
      <c r="A110" s="203"/>
      <c r="B110" s="138" t="s">
        <v>76</v>
      </c>
      <c r="C110" s="182"/>
      <c r="D110" s="185"/>
      <c r="E110" s="20"/>
      <c r="F110" s="20"/>
      <c r="G110" s="20"/>
      <c r="H110" s="20"/>
      <c r="I110" s="20"/>
      <c r="J110" s="18"/>
      <c r="K110" s="186"/>
      <c r="L110" s="192"/>
      <c r="M110" s="182"/>
      <c r="N110" s="185"/>
      <c r="O110" s="20"/>
      <c r="P110" s="20"/>
      <c r="Q110" s="20"/>
      <c r="R110" s="20"/>
      <c r="S110" s="20"/>
      <c r="T110" s="18"/>
      <c r="U110" s="186"/>
      <c r="V110" s="192"/>
      <c r="W110" s="182"/>
      <c r="X110" s="185"/>
      <c r="Y110" s="20"/>
      <c r="Z110" s="20"/>
      <c r="AA110" s="20"/>
      <c r="AB110" s="20"/>
      <c r="AC110" s="20"/>
      <c r="AD110" s="18"/>
      <c r="AE110" s="186"/>
      <c r="AF110" s="192"/>
      <c r="AG110" s="182"/>
      <c r="AH110" s="185"/>
      <c r="AI110" s="20"/>
      <c r="AJ110" s="20"/>
      <c r="AK110" s="20"/>
      <c r="AL110" s="20"/>
      <c r="AM110" s="20"/>
      <c r="AN110" s="18"/>
      <c r="AO110" s="186"/>
      <c r="AP110" s="192"/>
      <c r="AQ110" s="182"/>
      <c r="AR110" s="185"/>
      <c r="AS110" s="20"/>
      <c r="AT110" s="20"/>
      <c r="AU110" s="20"/>
      <c r="AV110" s="20"/>
      <c r="AW110" s="20"/>
      <c r="AX110" s="18"/>
      <c r="AY110" s="186"/>
      <c r="AZ110" s="192"/>
      <c r="BA110" s="182"/>
      <c r="BB110" s="185"/>
      <c r="BC110" s="20"/>
      <c r="BD110" s="20"/>
      <c r="BE110" s="20"/>
      <c r="BF110" s="20"/>
      <c r="BG110" s="20"/>
      <c r="BH110" s="18"/>
      <c r="BI110" s="186"/>
      <c r="BJ110" s="192"/>
      <c r="BK110" s="182"/>
      <c r="BL110" s="185"/>
      <c r="BM110" s="20"/>
      <c r="BN110" s="20"/>
      <c r="BO110" s="20"/>
      <c r="BP110" s="20"/>
      <c r="BQ110" s="20"/>
      <c r="BR110" s="18"/>
      <c r="BS110" s="186"/>
      <c r="BT110" s="192"/>
      <c r="BU110" s="1"/>
      <c r="BV110" s="1"/>
    </row>
    <row r="111" spans="1:74" ht="15" customHeight="1" thickBot="1" x14ac:dyDescent="0.25">
      <c r="A111" s="203"/>
      <c r="B111" s="138" t="s">
        <v>11</v>
      </c>
      <c r="C111" s="182"/>
      <c r="D111" s="185"/>
      <c r="E111" s="151"/>
      <c r="G111" s="20"/>
      <c r="H111" s="20"/>
      <c r="I111" s="20"/>
      <c r="J111" s="18"/>
      <c r="K111" s="20"/>
      <c r="L111" s="25"/>
      <c r="M111" s="182"/>
      <c r="N111" s="185"/>
      <c r="O111" s="20"/>
      <c r="Q111" s="20"/>
      <c r="R111" s="20"/>
      <c r="S111" s="20"/>
      <c r="T111" s="18"/>
      <c r="U111" s="20"/>
      <c r="V111" s="25"/>
      <c r="W111" s="182"/>
      <c r="X111" s="185"/>
      <c r="Y111" s="151"/>
      <c r="AA111" s="20"/>
      <c r="AB111" s="20"/>
      <c r="AC111" s="20"/>
      <c r="AD111" s="18"/>
      <c r="AE111" s="20"/>
      <c r="AF111" s="25"/>
      <c r="AG111" s="182"/>
      <c r="AH111" s="185"/>
      <c r="AI111" s="20"/>
      <c r="AK111" s="20"/>
      <c r="AL111" s="20"/>
      <c r="AM111" s="20"/>
      <c r="AN111" s="18"/>
      <c r="AO111" s="20"/>
      <c r="AP111" s="25"/>
      <c r="AQ111" s="182"/>
      <c r="AR111" s="185"/>
      <c r="AS111" s="151"/>
      <c r="AU111" s="20"/>
      <c r="AV111" s="20"/>
      <c r="AW111" s="20"/>
      <c r="AX111" s="18"/>
      <c r="AY111" s="20"/>
      <c r="AZ111" s="25"/>
      <c r="BA111" s="182"/>
      <c r="BB111" s="185"/>
      <c r="BC111" s="20"/>
      <c r="BE111" s="20"/>
      <c r="BF111" s="20"/>
      <c r="BG111" s="20"/>
      <c r="BH111" s="18"/>
      <c r="BI111" s="20"/>
      <c r="BJ111" s="25"/>
      <c r="BK111" s="182"/>
      <c r="BL111" s="185"/>
      <c r="BM111" s="20"/>
      <c r="BO111" s="20"/>
      <c r="BP111" s="20"/>
      <c r="BQ111" s="20"/>
      <c r="BR111" s="18"/>
      <c r="BS111" s="20"/>
      <c r="BT111" s="25"/>
      <c r="BU111" s="1"/>
      <c r="BV111" s="1"/>
    </row>
    <row r="112" spans="1:74" ht="15" customHeight="1" thickBot="1" x14ac:dyDescent="0.25">
      <c r="A112" s="203"/>
      <c r="B112" s="139" t="s">
        <v>12</v>
      </c>
      <c r="C112" s="182"/>
      <c r="D112" s="185"/>
      <c r="E112" s="184" t="str">
        <f>IF(Configuração!Y12=EscalaLinear!BY5,10,IF(Configuração!Y12=BY6,9,IF(Configuração!Y12=BY7,8,IF(Configuração!Y12=BY8,7,IF(Configuração!Y12=BY9,6,IF(Configuração!Y12=BY10,5,IF(Configuração!Y12=BY11,4,IF(Configuração!Y12=BY12,3,IF(Configuração!Y12=BY13,2,IF(Configuração!Y12=BY14,1,""))))))))))</f>
        <v/>
      </c>
      <c r="F112" s="184" t="str">
        <f>IF(Configuração!Y13=EscalaLinear!BY5,10,IF(Configuração!Y13=BY6,9,IF(Configuração!Y13=BY7,8,IF(Configuração!Y13=BY8,7,IF(Configuração!Y13=BY9,6,IF(Configuração!Y13=BY10,5,IF(Configuração!Y13=BY11,4,IF(Configuração!Y13=BY12,3,IF(Configuração!Y13=BY13,2,IF(Configuração!Y13=BY14,1,""))))))))))</f>
        <v/>
      </c>
      <c r="G112" s="22"/>
      <c r="H112" s="22"/>
      <c r="I112" s="20"/>
      <c r="J112" s="18"/>
      <c r="K112" s="20"/>
      <c r="L112" s="25"/>
      <c r="M112" s="182"/>
      <c r="N112" s="185"/>
      <c r="O112" s="184" t="str">
        <f>IF(Configuração!Z12=EscalaLinear!BY5,10,IF(Configuração!Z12=BY6,9,IF(Configuração!Z12=BY7,8,IF(Configuração!Z12=BY8,7,IF(Configuração!Z12=BY9,6,IF(Configuração!Z12=BY10,5,IF(Configuração!Z12=BY11,4,IF(Configuração!Z12=BY12,3,IF(Configuração!Z12=BY13,2,IF(Configuração!Z12=BY14,1,""))))))))))</f>
        <v/>
      </c>
      <c r="P112" s="184" t="str">
        <f>IF(Configuração!Z13=EscalaLinear!BY5,10,IF(Configuração!Z13=BY6,9,IF(Configuração!Z13=BY7,8,IF(Configuração!Z13=BY8,7,IF(Configuração!Z13=BY9,6,IF(Configuração!Z13=BY10,5,IF(Configuração!Z13=BY11,4,IF(Configuração!Z13=BY12,3,IF(Configuração!Z13=BY13,2,IF(Configuração!Z13=BY14,1,""))))))))))</f>
        <v/>
      </c>
      <c r="Q112" s="22"/>
      <c r="R112" s="22"/>
      <c r="S112" s="20"/>
      <c r="T112" s="18"/>
      <c r="U112" s="20"/>
      <c r="V112" s="25"/>
      <c r="W112" s="182"/>
      <c r="X112" s="185"/>
      <c r="Y112" s="184" t="str">
        <f>IF(Configuração!AA12=EscalaLinear!BY5,10,IF(Configuração!AA12=BY6,9,IF(Configuração!AA12=BY7,8,IF(Configuração!AA12=BY8,7,IF(Configuração!AA12=BY9,6,IF(Configuração!AA12=BY10,5,IF(Configuração!AA12=BY11,4,IF(Configuração!AA12=BY12,3,IF(Configuração!AA12=BY13,2,IF(Configuração!AA12=BY14,1,""))))))))))</f>
        <v/>
      </c>
      <c r="Z112" s="184" t="str">
        <f>IF(Configuração!AA13=EscalaLinear!BY5,10,IF(Configuração!AA13=BY6,9,IF(Configuração!AA13=BY7,8,IF(Configuração!AA13=BY8,7,IF(Configuração!AA13=BY9,6,IF(Configuração!AA13=BY10,5,IF(Configuração!AA13=BY11,4,IF(Configuração!AA13=BY12,3,IF(Configuração!AA13=BY13,2,IF(Configuração!AA13=BY14,1,""))))))))))</f>
        <v/>
      </c>
      <c r="AA112" s="22"/>
      <c r="AB112" s="22"/>
      <c r="AC112" s="20"/>
      <c r="AD112" s="18"/>
      <c r="AE112" s="20"/>
      <c r="AF112" s="25"/>
      <c r="AG112" s="182"/>
      <c r="AH112" s="185"/>
      <c r="AI112" s="184" t="str">
        <f>IF(Configuração!AB12=EscalaLinear!BY5,10,IF(Configuração!AB12=BY6,9,IF(Configuração!AB12=BY7,8,IF(Configuração!AB12=BY8,7,IF(Configuração!AB12=BY9,6,IF(Configuração!AB12=BY10,5,IF(Configuração!AB12=BY11,4,IF(Configuração!AB12=BY12,3,IF(Configuração!AB12=BY13,2,IF(Configuração!AB12=BY14,1,""))))))))))</f>
        <v/>
      </c>
      <c r="AJ112" s="184" t="str">
        <f>IF(Configuração!AB13=EscalaLinear!BY5,10,IF(Configuração!AB13=BY6,9,IF(Configuração!AB13=BY7,8,IF(Configuração!AB13=BY8,7,IF(Configuração!AB13=BY9,6,IF(Configuração!AB13=BY10,5,IF(Configuração!AB13=BY11,4,IF(Configuração!AB13=BY12,3,IF(Configuração!AB13=BY13,2,IF(Configuração!AB13=BY14,1,""))))))))))</f>
        <v/>
      </c>
      <c r="AK112" s="22"/>
      <c r="AL112" s="22"/>
      <c r="AM112" s="20"/>
      <c r="AN112" s="18"/>
      <c r="AO112" s="20"/>
      <c r="AP112" s="25"/>
      <c r="AQ112" s="182"/>
      <c r="AR112" s="185"/>
      <c r="AS112" s="184" t="str">
        <f>IF(Configuração!AC12=EscalaLinear!BY5,10,IF(Configuração!AC12=BY6,9,IF(Configuração!AC12=BY7,8,IF(Configuração!AC12=BY8,7,IF(Configuração!AC12=BY9,6,IF(Configuração!AC12=BY10,5,IF(Configuração!AC12=BY11,4,IF(Configuração!AC12=BY12,3,IF(Configuração!AC12=BY13,2,IF(Configuração!AC12=BY14,1,""))))))))))</f>
        <v/>
      </c>
      <c r="AT112" s="184" t="str">
        <f>IF(Configuração!AC13=EscalaLinear!BY5,10,IF(Configuração!AC13=BY6,9,IF(Configuração!AC13=BY7,8,IF(Configuração!AC13=BY8,7,IF(Configuração!AC13=BY9,6,IF(Configuração!AC13=BY10,5,IF(Configuração!AC13=BY11,4,IF(Configuração!AC13=BY12,3,IF(Configuração!AC13=BY13,2,IF(Configuração!AC13=BY14,1,""))))))))))</f>
        <v/>
      </c>
      <c r="AU112" s="22"/>
      <c r="AV112" s="22"/>
      <c r="AW112" s="20"/>
      <c r="AX112" s="18"/>
      <c r="AY112" s="20"/>
      <c r="AZ112" s="25"/>
      <c r="BA112" s="182"/>
      <c r="BB112" s="185"/>
      <c r="BC112" s="184" t="str">
        <f>IF(Configuração!AD12=EscalaLinear!BY5,10,IF(Configuração!AD12=BY6,9,IF(Configuração!AD12=BY7,8,IF(Configuração!AD12=BY8,7,IF(Configuração!AD12=BY9,6,IF(Configuração!AD12=BY10,5,IF(Configuração!AD12=BY11,4,IF(Configuração!AD12=BY12,3,IF(Configuração!AD12=BY13,2,IF(Configuração!AD12=BY14,1,""))))))))))</f>
        <v/>
      </c>
      <c r="BD112" s="184" t="str">
        <f>IF(Configuração!AD13=EscalaLinear!BY5,10,IF(Configuração!AD13=BY6,9,IF(Configuração!AD13=BY7,8,IF(Configuração!AD13=BY8,7,IF(Configuração!AD13=BY9,6,IF(Configuração!AD13=BY10,5,IF(Configuração!AD13=BY11,4,IF(Configuração!AD13=BY12,3,IF(Configuração!AD13=BY13,2,IF(Configuração!AD13=BY14,1,""))))))))))</f>
        <v/>
      </c>
      <c r="BE112" s="22"/>
      <c r="BF112" s="22"/>
      <c r="BG112" s="20"/>
      <c r="BH112" s="18"/>
      <c r="BI112" s="20"/>
      <c r="BJ112" s="25"/>
      <c r="BK112" s="182"/>
      <c r="BL112" s="185"/>
      <c r="BM112" s="184" t="str">
        <f>IF(Configuração!AE12=EscalaLinear!BY5,10,IF(Configuração!AE12=BY6,9,IF(Configuração!AE12=BY7,8,IF(Configuração!AE12=BY8,7,IF(Configuração!AE12=BY9,6,IF(Configuração!AE12=BY10,5,IF(Configuração!AE12=BY11,4,IF(Configuração!AE12=BY12,3,IF(Configuração!AE12=BY13,2,IF(Configuração!AE12=BY14,1,""))))))))))</f>
        <v/>
      </c>
      <c r="BN112" s="184" t="str">
        <f>IF(Configuração!AE13=EscalaLinear!BY5,10,IF(Configuração!AE13=BY6,9,IF(Configuração!AE13=BY7,8,IF(Configuração!AE13=BY8,7,IF(Configuração!AE13=BY9,6,IF(Configuração!AE13=BY10,5,IF(Configuração!AE13=BY11,4,IF(Configuração!AE13=BY12,3,IF(Configuração!AE13=BY13,2,IF(Configuração!AE13=BY14,1,""))))))))))</f>
        <v/>
      </c>
      <c r="BO112" s="22"/>
      <c r="BP112" s="22"/>
      <c r="BQ112" s="20"/>
      <c r="BR112" s="18"/>
      <c r="BS112" s="20"/>
      <c r="BT112" s="25"/>
      <c r="BU112" s="1"/>
      <c r="BV112" s="1"/>
    </row>
    <row r="113" spans="1:74" ht="15" customHeight="1" thickBot="1" x14ac:dyDescent="0.25">
      <c r="A113" s="203"/>
      <c r="B113" s="138" t="s">
        <v>13</v>
      </c>
      <c r="C113" s="182"/>
      <c r="D113" s="185"/>
      <c r="E113" s="185"/>
      <c r="F113" s="185"/>
      <c r="G113" s="151"/>
      <c r="I113" s="20"/>
      <c r="J113" s="18"/>
      <c r="K113" s="20"/>
      <c r="L113" s="25"/>
      <c r="M113" s="182"/>
      <c r="N113" s="185"/>
      <c r="O113" s="185"/>
      <c r="P113" s="185"/>
      <c r="Q113" s="151"/>
      <c r="S113" s="20"/>
      <c r="T113" s="18"/>
      <c r="U113" s="20"/>
      <c r="V113" s="25"/>
      <c r="W113" s="182"/>
      <c r="X113" s="185"/>
      <c r="Y113" s="185"/>
      <c r="Z113" s="185"/>
      <c r="AA113" s="151"/>
      <c r="AC113" s="20"/>
      <c r="AD113" s="18"/>
      <c r="AE113" s="20"/>
      <c r="AF113" s="25"/>
      <c r="AG113" s="182"/>
      <c r="AH113" s="185"/>
      <c r="AI113" s="185"/>
      <c r="AJ113" s="185"/>
      <c r="AK113" s="151"/>
      <c r="AM113" s="20"/>
      <c r="AN113" s="18"/>
      <c r="AO113" s="20"/>
      <c r="AP113" s="25"/>
      <c r="AQ113" s="182"/>
      <c r="AR113" s="185"/>
      <c r="AS113" s="185"/>
      <c r="AT113" s="185"/>
      <c r="AU113" s="151"/>
      <c r="AW113" s="20"/>
      <c r="AX113" s="18"/>
      <c r="AY113" s="20"/>
      <c r="AZ113" s="25"/>
      <c r="BA113" s="182"/>
      <c r="BB113" s="185"/>
      <c r="BC113" s="185"/>
      <c r="BD113" s="185"/>
      <c r="BE113" s="151"/>
      <c r="BG113" s="20"/>
      <c r="BH113" s="18"/>
      <c r="BI113" s="20"/>
      <c r="BJ113" s="25"/>
      <c r="BK113" s="182"/>
      <c r="BL113" s="185"/>
      <c r="BM113" s="185"/>
      <c r="BN113" s="185"/>
      <c r="BO113" s="151"/>
      <c r="BQ113" s="20"/>
      <c r="BR113" s="18"/>
      <c r="BS113" s="20"/>
      <c r="BT113" s="25"/>
      <c r="BU113" s="1"/>
      <c r="BV113" s="1"/>
    </row>
    <row r="114" spans="1:74" ht="15" customHeight="1" thickBot="1" x14ac:dyDescent="0.25">
      <c r="A114" s="203"/>
      <c r="B114" s="139" t="s">
        <v>14</v>
      </c>
      <c r="C114" s="182"/>
      <c r="D114" s="185"/>
      <c r="E114" s="185"/>
      <c r="F114" s="185"/>
      <c r="G114" s="184">
        <f>IF(Configuração!Y14=EscalaLinear!BY5,10,IF(Configuração!Y14=BY6,9,IF(Configuração!Y14=BY7,8,IF(Configuração!Y14=BY8,7,IF(Configuração!Y14=BY9,6,IF(Configuração!Y14=BY10,5,IF(Configuração!Y14=BY11,4,IF(Configuração!Y14=BY12,3,IF(Configuração!Y14=BY13,2,IF(Configuração!Y14=BY14,1,""))))))))))</f>
        <v>9</v>
      </c>
      <c r="H114" s="184" t="str">
        <f>IF(Configuração!Y15=EscalaLinear!BY5,10,IF(Configuração!Y15=BY6,9,IF(Configuração!Y15=BY7,8,IF(Configuração!Y15=BY8,7,IF(Configuração!Y15=BY9,6,IF(Configuração!Y15=BY10,5,IF(Configuração!Y15=BY11,4,IF(Configuração!Y15=BY12,3,IF(Configuração!Y15=BY13,2,IF(Configuração!Y15=BY14,1,""))))))))))</f>
        <v/>
      </c>
      <c r="I114" s="20"/>
      <c r="J114" s="18"/>
      <c r="K114" s="20"/>
      <c r="L114" s="25"/>
      <c r="M114" s="182"/>
      <c r="N114" s="185"/>
      <c r="O114" s="185"/>
      <c r="P114" s="185"/>
      <c r="Q114" s="184">
        <f>IF(Configuração!Z14=EscalaLinear!BY5,10,IF(Configuração!Z14=BY6,9,IF(Configuração!Z14=BY7,8,IF(Configuração!Z14=BY8,7,IF(Configuração!Z14=BY9,6,IF(Configuração!Z14=BY10,5,IF(Configuração!Z14=BY11,4,IF(Configuração!Z14=BY12,3,IF(Configuração!Z14=BY13,2,IF(Configuração!Z14=BY14,1,""))))))))))</f>
        <v>9</v>
      </c>
      <c r="R114" s="184" t="str">
        <f>IF(Configuração!Z15=EscalaLinear!BY5,10,IF(Configuração!Z15=BY6,9,IF(Configuração!Z15=BY7,8,IF(Configuração!Z15=BY8,7,IF(Configuração!Z15=BY9,6,IF(Configuração!Z15=BY10,5,IF(Configuração!Z15=BY11,4,IF(Configuração!Z15=BY12,3,IF(Configuração!Z15=BY13,2,IF(Configuração!Z15=BY14,1,""))))))))))</f>
        <v/>
      </c>
      <c r="S114" s="20"/>
      <c r="T114" s="18"/>
      <c r="U114" s="20"/>
      <c r="V114" s="25"/>
      <c r="W114" s="182"/>
      <c r="X114" s="185"/>
      <c r="Y114" s="185"/>
      <c r="Z114" s="185"/>
      <c r="AA114" s="184">
        <f>IF(Configuração!AA14=EscalaLinear!BY5,10,IF(Configuração!AA14=BY6,9,IF(Configuração!AA14=BY7,8,IF(Configuração!AA14=BY8,7,IF(Configuração!AA14=BY9,6,IF(Configuração!AA14=BY10,5,IF(Configuração!AA14=BY11,4,IF(Configuração!AA14=BY12,3,IF(Configuração!AA14=BY13,2,IF(Configuração!AA14=BY14,1,""))))))))))</f>
        <v>9</v>
      </c>
      <c r="AB114" s="184" t="str">
        <f>IF(Configuração!AA15=EscalaLinear!BY5,10,IF(Configuração!AA15=BY6,9,IF(Configuração!AA15=BY7,8,IF(Configuração!AA15=BY8,7,IF(Configuração!AA15=BY9,6,IF(Configuração!AA15=BY10,5,IF(Configuração!AA15=BY11,4,IF(Configuração!AA15=BY12,3,IF(Configuração!AA15=BY13,2,IF(Configuração!AA15=BY14,1,""))))))))))</f>
        <v/>
      </c>
      <c r="AC114" s="20"/>
      <c r="AD114" s="18"/>
      <c r="AE114" s="20"/>
      <c r="AF114" s="25"/>
      <c r="AG114" s="182"/>
      <c r="AH114" s="185"/>
      <c r="AI114" s="185"/>
      <c r="AJ114" s="185"/>
      <c r="AK114" s="184">
        <f>IF(Configuração!AB14=EscalaLinear!BY5,10,IF(Configuração!AB14=BY6,9,IF(Configuração!AB14=BY7,8,IF(Configuração!AB14=BY8,7,IF(Configuração!AB14=BY9,6,IF(Configuração!AB14=BY10,5,IF(Configuração!AB14=BY11,4,IF(Configuração!AB14=BY12,3,IF(Configuração!AB14=BY13,2,IF(Configuração!AB14=BY14,1,""))))))))))</f>
        <v>9</v>
      </c>
      <c r="AL114" s="184" t="str">
        <f>IF(Configuração!AB15=EscalaLinear!BY5,10,IF(Configuração!AB15=BY6,9,IF(Configuração!AB15=BY7,8,IF(Configuração!AB15=BY8,7,IF(Configuração!AB15=BY9,6,IF(Configuração!AB15=BY10,5,IF(Configuração!AB15=BY11,4,IF(Configuração!AB15=BY12,3,IF(Configuração!AB15=BY13,2,IF(Configuração!AB15=BY14,1,""))))))))))</f>
        <v/>
      </c>
      <c r="AM114" s="20"/>
      <c r="AN114" s="18"/>
      <c r="AO114" s="20"/>
      <c r="AP114" s="25"/>
      <c r="AQ114" s="182"/>
      <c r="AR114" s="185"/>
      <c r="AS114" s="185"/>
      <c r="AT114" s="185"/>
      <c r="AU114" s="184">
        <f>IF(Configuração!AC14=EscalaLinear!BY5,10,IF(Configuração!AC14=BY6,9,IF(Configuração!AC14=BY7,8,IF(Configuração!AC14=BY8,7,IF(Configuração!AC14=BY9,6,IF(Configuração!AC14=BY10,5,IF(Configuração!AC14=BY11,4,IF(Configuração!AC14=BY12,3,IF(Configuração!AC14=BY13,2,IF(Configuração!AC14=BY14,1,""))))))))))</f>
        <v>9</v>
      </c>
      <c r="AV114" s="184" t="str">
        <f>IF(Configuração!AC15=EscalaLinear!BY5,10,IF(Configuração!AC15=BY6,9,IF(Configuração!AC15=BY7,8,IF(Configuração!AC15=BY8,7,IF(Configuração!AC15=BY9,6,IF(Configuração!AC15=BY10,5,IF(Configuração!AC15=BY11,4,IF(Configuração!AC15=BY12,3,IF(Configuração!AC15=BY13,2,IF(Configuração!AC15=BY14,1,""))))))))))</f>
        <v/>
      </c>
      <c r="AW114" s="20"/>
      <c r="AX114" s="18"/>
      <c r="AY114" s="20"/>
      <c r="AZ114" s="25"/>
      <c r="BA114" s="182"/>
      <c r="BB114" s="185"/>
      <c r="BC114" s="185"/>
      <c r="BD114" s="185"/>
      <c r="BE114" s="184">
        <f>IF(Configuração!AD14=EscalaLinear!BY5,10,IF(Configuração!AD14=BY6,9,IF(Configuração!AD14=BY7,8,IF(Configuração!AD14=BY8,7,IF(Configuração!AD14=BY9,6,IF(Configuração!AD14=BY10,5,IF(Configuração!AD14=BY11,4,IF(Configuração!AD14=BY12,3,IF(Configuração!AD14=BY13,2,IF(Configuração!AD14=BY14,1,""))))))))))</f>
        <v>9</v>
      </c>
      <c r="BF114" s="184" t="str">
        <f>IF(Configuração!AD15=EscalaLinear!BY5,10,IF(Configuração!AD15=BY6,9,IF(Configuração!AD15=BY7,8,IF(Configuração!AD15=BY8,7,IF(Configuração!AD15=BY9,6,IF(Configuração!AD15=BY10,5,IF(Configuração!AD15=BY11,4,IF(Configuração!AD15=BY12,3,IF(Configuração!AD15=BY13,2,IF(Configuração!AD15=BY14,1,""))))))))))</f>
        <v/>
      </c>
      <c r="BG114" s="20"/>
      <c r="BH114" s="18"/>
      <c r="BI114" s="20"/>
      <c r="BJ114" s="25"/>
      <c r="BK114" s="182"/>
      <c r="BL114" s="185"/>
      <c r="BM114" s="185"/>
      <c r="BN114" s="185"/>
      <c r="BO114" s="184">
        <f>IF(Configuração!AE14=EscalaLinear!BY5,10,IF(Configuração!AE14=BY6,9,IF(Configuração!AE14=BY7,8,IF(Configuração!AE14=BY8,7,IF(Configuração!AE14=BY9,6,IF(Configuração!AE14=BY10,5,IF(Configuração!AE14=BY11,4,IF(Configuração!AE14=BY12,3,IF(Configuração!AE14=BY13,2,IF(Configuração!AE14=BY14,1,""))))))))))</f>
        <v>9</v>
      </c>
      <c r="BP114" s="184" t="str">
        <f>IF(Configuração!AE15=EscalaLinear!BY5,10,IF(Configuração!AE15=BY6,9,IF(Configuração!AE15=BY7,8,IF(Configuração!AE15=BY8,7,IF(Configuração!AE15=BY9,6,IF(Configuração!AE15=BY10,5,IF(Configuração!AE15=BY11,4,IF(Configuração!AE15=BY12,3,IF(Configuração!AE15=BY13,2,IF(Configuração!AE15=BY14,1,""))))))))))</f>
        <v/>
      </c>
      <c r="BQ114" s="20"/>
      <c r="BR114" s="18"/>
      <c r="BS114" s="20"/>
      <c r="BT114" s="25"/>
      <c r="BU114" s="1"/>
      <c r="BV114" s="1"/>
    </row>
    <row r="115" spans="1:74" ht="15" customHeight="1" thickBot="1" x14ac:dyDescent="0.25">
      <c r="A115" s="203"/>
      <c r="B115" s="138" t="s">
        <v>15</v>
      </c>
      <c r="C115" s="182"/>
      <c r="D115" s="185"/>
      <c r="E115" s="185"/>
      <c r="F115" s="185"/>
      <c r="G115" s="185"/>
      <c r="H115" s="185"/>
      <c r="I115" s="18"/>
      <c r="J115" s="20"/>
      <c r="K115" s="20"/>
      <c r="L115" s="25"/>
      <c r="M115" s="182"/>
      <c r="N115" s="185"/>
      <c r="O115" s="185"/>
      <c r="P115" s="185"/>
      <c r="Q115" s="185"/>
      <c r="R115" s="185"/>
      <c r="S115" s="18"/>
      <c r="T115" s="18"/>
      <c r="U115" s="20"/>
      <c r="V115" s="25"/>
      <c r="W115" s="182"/>
      <c r="X115" s="185"/>
      <c r="Y115" s="185"/>
      <c r="Z115" s="185"/>
      <c r="AA115" s="185"/>
      <c r="AB115" s="185"/>
      <c r="AC115" s="18"/>
      <c r="AD115" s="20"/>
      <c r="AE115" s="20"/>
      <c r="AF115" s="25"/>
      <c r="AG115" s="182"/>
      <c r="AH115" s="185"/>
      <c r="AI115" s="185"/>
      <c r="AJ115" s="185"/>
      <c r="AK115" s="185"/>
      <c r="AL115" s="185"/>
      <c r="AM115" s="18"/>
      <c r="AN115" s="18"/>
      <c r="AO115" s="20"/>
      <c r="AP115" s="25"/>
      <c r="AQ115" s="182"/>
      <c r="AR115" s="185"/>
      <c r="AS115" s="185"/>
      <c r="AT115" s="185"/>
      <c r="AU115" s="185"/>
      <c r="AV115" s="185"/>
      <c r="AW115" s="18"/>
      <c r="AX115" s="20"/>
      <c r="AY115" s="20"/>
      <c r="AZ115" s="25"/>
      <c r="BA115" s="182"/>
      <c r="BB115" s="185"/>
      <c r="BC115" s="185"/>
      <c r="BD115" s="185"/>
      <c r="BE115" s="185"/>
      <c r="BF115" s="185"/>
      <c r="BG115" s="18"/>
      <c r="BH115" s="18"/>
      <c r="BI115" s="20"/>
      <c r="BJ115" s="25"/>
      <c r="BK115" s="182"/>
      <c r="BL115" s="185"/>
      <c r="BM115" s="185"/>
      <c r="BN115" s="185"/>
      <c r="BO115" s="185"/>
      <c r="BP115" s="185"/>
      <c r="BQ115" s="18"/>
      <c r="BR115" s="18"/>
      <c r="BS115" s="20"/>
      <c r="BT115" s="25"/>
      <c r="BU115" s="1"/>
      <c r="BV115" s="1"/>
    </row>
    <row r="116" spans="1:74" ht="15" customHeight="1" thickBot="1" x14ac:dyDescent="0.25">
      <c r="A116" s="203"/>
      <c r="B116" s="138" t="s">
        <v>16</v>
      </c>
      <c r="C116" s="182"/>
      <c r="D116" s="185"/>
      <c r="E116" s="185"/>
      <c r="F116" s="185"/>
      <c r="G116" s="185"/>
      <c r="H116" s="185"/>
      <c r="I116" s="151"/>
      <c r="J116" s="151"/>
      <c r="K116" s="20"/>
      <c r="L116" s="25"/>
      <c r="M116" s="182"/>
      <c r="N116" s="185"/>
      <c r="O116" s="185"/>
      <c r="P116" s="185"/>
      <c r="Q116" s="185"/>
      <c r="R116" s="185"/>
      <c r="S116" s="151"/>
      <c r="T116" s="151"/>
      <c r="U116" s="20"/>
      <c r="V116" s="25"/>
      <c r="W116" s="182"/>
      <c r="X116" s="185"/>
      <c r="Y116" s="185"/>
      <c r="Z116" s="185"/>
      <c r="AA116" s="185"/>
      <c r="AB116" s="185"/>
      <c r="AC116" s="151"/>
      <c r="AD116" s="151"/>
      <c r="AE116" s="20"/>
      <c r="AF116" s="25"/>
      <c r="AG116" s="182"/>
      <c r="AH116" s="185"/>
      <c r="AI116" s="185"/>
      <c r="AJ116" s="185"/>
      <c r="AK116" s="185"/>
      <c r="AL116" s="185"/>
      <c r="AM116" s="151"/>
      <c r="AN116" s="151"/>
      <c r="AO116" s="20"/>
      <c r="AP116" s="25"/>
      <c r="AQ116" s="182"/>
      <c r="AR116" s="185"/>
      <c r="AS116" s="185"/>
      <c r="AT116" s="185"/>
      <c r="AU116" s="185"/>
      <c r="AV116" s="185"/>
      <c r="AW116" s="151"/>
      <c r="AX116" s="151"/>
      <c r="AY116" s="20"/>
      <c r="AZ116" s="25"/>
      <c r="BA116" s="182"/>
      <c r="BB116" s="185"/>
      <c r="BC116" s="185"/>
      <c r="BD116" s="185"/>
      <c r="BE116" s="185"/>
      <c r="BF116" s="185"/>
      <c r="BG116" s="151"/>
      <c r="BH116" s="151"/>
      <c r="BI116" s="20"/>
      <c r="BJ116" s="25"/>
      <c r="BK116" s="182"/>
      <c r="BL116" s="185"/>
      <c r="BM116" s="185"/>
      <c r="BN116" s="185"/>
      <c r="BO116" s="185"/>
      <c r="BP116" s="185"/>
      <c r="BQ116" s="151"/>
      <c r="BR116" s="151"/>
      <c r="BS116" s="20"/>
      <c r="BT116" s="25"/>
      <c r="BU116" s="1"/>
      <c r="BV116" s="1"/>
    </row>
    <row r="117" spans="1:74" ht="15" customHeight="1" thickBot="1" x14ac:dyDescent="0.25">
      <c r="A117" s="203"/>
      <c r="B117" s="140" t="s">
        <v>17</v>
      </c>
      <c r="C117" s="182"/>
      <c r="D117" s="185"/>
      <c r="E117" s="185"/>
      <c r="F117" s="185"/>
      <c r="G117" s="185"/>
      <c r="H117" s="185"/>
      <c r="I117" s="187" t="str">
        <f>IF(Configuração!Y16=EscalaLinear!BY5,10,IF(Configuração!Y16=BY6,9,IF(Configuração!Y16=BY7,8,IF(Configuração!Y16=BY8,7,IF(Configuração!Y16=BY9,6,IF(Configuração!Y16=BY10,5,IF(Configuração!Y16=BY11,4,IF(Configuração!Y16=BY12,3,IF(Configuração!Y16=BY13,2,IF(Configuração!Y16=BY14,1,""))))))))))</f>
        <v/>
      </c>
      <c r="J117" s="187" t="str">
        <f>IF(Configuração!Y17=EscalaLinear!BY5,10,IF(Configuração!Y17=BY6,9,IF(Configuração!Y17=BY7,8,IF(Configuração!Y17=BY8,7,IF(Configuração!Y17=BY9,6,IF(Configuração!Y17=BY10,5,IF(Configuração!Y17=BY11,4,IF(Configuração!Y17=BY12,3,IF(Configuração!Y17=BY13,2,IF(Configuração!Y17=BY14,1,""))))))))))</f>
        <v/>
      </c>
      <c r="K117" s="20"/>
      <c r="L117" s="25"/>
      <c r="M117" s="182"/>
      <c r="N117" s="185"/>
      <c r="O117" s="185"/>
      <c r="P117" s="185"/>
      <c r="Q117" s="185"/>
      <c r="R117" s="185"/>
      <c r="S117" s="187" t="str">
        <f>IF(Configuração!Z16=EscalaLinear!BY5,10,IF(Configuração!Z16=BY6,9,IF(Configuração!Z16=BY7,8,IF(Configuração!Z16=BY8,7,IF(Configuração!Z16=BY9,6,IF(Configuração!Z16=BY10,5,IF(Configuração!Z16=BY11,4,IF(Configuração!Z16=BY12,3,IF(Configuração!Z16=BY13,2,IF(Configuração!Z16=BY14,1,""))))))))))</f>
        <v/>
      </c>
      <c r="T117" s="187" t="str">
        <f>IF(Configuração!Z17=EscalaLinear!BY5,10,IF(Configuração!Z17=BY6,9,IF(Configuração!Z17=BY7,8,IF(Configuração!Z17=BY8,7,IF(Configuração!Z17=BY9,6,IF(Configuração!Z17=BY10,5,IF(Configuração!Z17=BY11,4,IF(Configuração!Z17=BY12,3,IF(Configuração!Z17=BY13,2,IF(Configuração!Z17=BY14,1,""))))))))))</f>
        <v/>
      </c>
      <c r="U117" s="20"/>
      <c r="V117" s="25"/>
      <c r="W117" s="182"/>
      <c r="X117" s="185"/>
      <c r="Y117" s="185"/>
      <c r="Z117" s="185"/>
      <c r="AA117" s="185"/>
      <c r="AB117" s="185"/>
      <c r="AC117" s="187" t="str">
        <f>IF(Configuração!AA16=EscalaLinear!BY5,10,IF(Configuração!AA16=BY6,9,IF(Configuração!AA16=BY7,8,IF(Configuração!AA16=BY8,7,IF(Configuração!AA16=BY9,6,IF(Configuração!AA16=BY10,5,IF(Configuração!AA16=BY11,4,IF(Configuração!AA16=BY12,3,IF(Configuração!AA16=BY13,2,IF(Configuração!AA16=BY14,1,""))))))))))</f>
        <v/>
      </c>
      <c r="AD117" s="187" t="str">
        <f>IF(Configuração!AA17=EscalaLinear!BY5,10,IF(Configuração!AA17=BY6,9,IF(Configuração!AA17=BY7,8,IF(Configuração!AA17=BY8,7,IF(Configuração!AA17=BY9,6,IF(Configuração!AA17=BY10,5,IF(Configuração!AA17=BY11,4,IF(Configuração!AA17=BY12,3,IF(Configuração!AA17=BY13,2,IF(Configuração!AA17=BY14,1,""))))))))))</f>
        <v/>
      </c>
      <c r="AE117" s="20"/>
      <c r="AF117" s="25"/>
      <c r="AG117" s="182"/>
      <c r="AH117" s="185"/>
      <c r="AI117" s="185"/>
      <c r="AJ117" s="185"/>
      <c r="AK117" s="185"/>
      <c r="AL117" s="185"/>
      <c r="AM117" s="187" t="str">
        <f>IF(Configuração!AB16=EscalaLinear!BY5,10,IF(Configuração!AB16=BY6,9,IF(Configuração!AB16=BY7,8,IF(Configuração!AB16=BY8,7,IF(Configuração!AB16=BY9,6,IF(Configuração!AB16=BY10,5,IF(Configuração!AB16=BY11,4,IF(Configuração!AB16=BY12,3,IF(Configuração!AB16=BY13,2,IF(Configuração!AB16=BY14,1,""))))))))))</f>
        <v/>
      </c>
      <c r="AN117" s="187" t="str">
        <f>IF(Configuração!AB17=EscalaLinear!BY5,10,IF(Configuração!AB17=BY6,9,IF(Configuração!AB17=BY7,8,IF(Configuração!AB17=BY8,7,IF(Configuração!AB17=BY9,6,IF(Configuração!AB17=BY10,5,IF(Configuração!AB17=BY11,4,IF(Configuração!AB17=BY12,3,IF(Configuração!AB17=BY13,2,IF(Configuração!AB17=BY14,1,""))))))))))</f>
        <v/>
      </c>
      <c r="AO117" s="20"/>
      <c r="AP117" s="25"/>
      <c r="AQ117" s="182"/>
      <c r="AR117" s="185"/>
      <c r="AS117" s="185"/>
      <c r="AT117" s="185"/>
      <c r="AU117" s="185"/>
      <c r="AV117" s="185"/>
      <c r="AW117" s="187" t="str">
        <f>IF(Configuração!AC16=EscalaLinear!BY5,10,IF(Configuração!AC16=BY6,9,IF(Configuração!AC16=BY7,8,IF(Configuração!AC16=BY8,7,IF(Configuração!AC16=BY9,6,IF(Configuração!AC16=BY10,5,IF(Configuração!AC16=BY11,4,IF(Configuração!AC16=BY12,3,IF(Configuração!AC16=BY13,2,IF(Configuração!AC16=BY14,1,""))))))))))</f>
        <v/>
      </c>
      <c r="AX117" s="187" t="str">
        <f>IF(Configuração!AC17=EscalaLinear!BY5,10,IF(Configuração!AC17=BY6,9,IF(Configuração!AC17=BY7,8,IF(Configuração!AC17=BY8,7,IF(Configuração!AC17=BY9,6,IF(Configuração!AC17=BY10,5,IF(Configuração!AC17=BY11,4,IF(Configuração!AC17=BY12,3,IF(Configuração!AC17=BY13,2,IF(Configuração!AC17=BY14,1,""))))))))))</f>
        <v/>
      </c>
      <c r="AY117" s="20"/>
      <c r="AZ117" s="25"/>
      <c r="BA117" s="182"/>
      <c r="BB117" s="185"/>
      <c r="BC117" s="185"/>
      <c r="BD117" s="185"/>
      <c r="BE117" s="185"/>
      <c r="BF117" s="185"/>
      <c r="BG117" s="187" t="str">
        <f>IF(Configuração!AD16=EscalaLinear!BY5,10,IF(Configuração!AD16=BY6,9,IF(Configuração!AD16=BY7,8,IF(Configuração!AD16=BY8,7,IF(Configuração!AD16=BY9,6,IF(Configuração!AD16=BY10,5,IF(Configuração!AD16=BY11,4,IF(Configuração!AD16=BY12,3,IF(Configuração!AD16=BY13,2,IF(Configuração!AD16=BY14,1,""))))))))))</f>
        <v/>
      </c>
      <c r="BH117" s="187" t="str">
        <f>IF(Configuração!AD17=EscalaLinear!BY5,10,IF(Configuração!AD17=BY6,9,IF(Configuração!AD17=BY7,8,IF(Configuração!AD17=BY8,7,IF(Configuração!AD17=BY9,6,IF(Configuração!AD17=BY10,5,IF(Configuração!AD17=BY11,4,IF(Configuração!AD17=BY12,3,IF(Configuração!AD17=BY13,2,IF(Configuração!AD17=BY14,1,""))))))))))</f>
        <v/>
      </c>
      <c r="BI117" s="20"/>
      <c r="BJ117" s="25"/>
      <c r="BK117" s="182"/>
      <c r="BL117" s="185"/>
      <c r="BM117" s="185"/>
      <c r="BN117" s="185"/>
      <c r="BO117" s="185"/>
      <c r="BP117" s="185"/>
      <c r="BQ117" s="187" t="str">
        <f>IF(Configuração!AE16=EscalaLinear!BY5,10,IF(Configuração!AE16=BY6,9,IF(Configuração!AE16=BY7,8,IF(Configuração!AE16=BY8,7,IF(Configuração!AE16=BY9,6,IF(Configuração!AE16=BY10,5,IF(Configuração!AE16=BY11,4,IF(Configuração!AE16=BY12,3,IF(Configuração!AE16=BY13,2,IF(Configuração!AE16=BY14,1,""))))))))))</f>
        <v/>
      </c>
      <c r="BR117" s="187" t="str">
        <f>IF(Configuração!AE17=EscalaLinear!BY5,10,IF(Configuração!AE17=BY6,9,IF(Configuração!AE17=BY7,8,IF(Configuração!AE17=BY8,7,IF(Configuração!AE17=BY9,6,IF(Configuração!AE17=BY10,5,IF(Configuração!AE17=BY11,4,IF(Configuração!AE17=BY12,3,IF(Configuração!AE17=BY13,2,IF(Configuração!AE17=BY14,1,""))))))))))</f>
        <v/>
      </c>
      <c r="BS117" s="20"/>
      <c r="BT117" s="25"/>
      <c r="BU117" s="1"/>
      <c r="BV117" s="1"/>
    </row>
    <row r="118" spans="1:74" ht="15" customHeight="1" thickBot="1" x14ac:dyDescent="0.25">
      <c r="A118" s="203"/>
      <c r="B118" s="138" t="s">
        <v>18</v>
      </c>
      <c r="C118" s="182"/>
      <c r="D118" s="185"/>
      <c r="E118" s="185"/>
      <c r="F118" s="185"/>
      <c r="G118" s="185"/>
      <c r="H118" s="185"/>
      <c r="I118" s="188"/>
      <c r="J118" s="188"/>
      <c r="K118" s="20"/>
      <c r="L118" s="25"/>
      <c r="M118" s="182"/>
      <c r="N118" s="185"/>
      <c r="O118" s="185"/>
      <c r="P118" s="185"/>
      <c r="Q118" s="185"/>
      <c r="R118" s="185"/>
      <c r="S118" s="188"/>
      <c r="T118" s="188"/>
      <c r="U118" s="20"/>
      <c r="V118" s="25"/>
      <c r="W118" s="182"/>
      <c r="X118" s="185"/>
      <c r="Y118" s="185"/>
      <c r="Z118" s="185"/>
      <c r="AA118" s="185"/>
      <c r="AB118" s="185"/>
      <c r="AC118" s="188"/>
      <c r="AD118" s="188"/>
      <c r="AE118" s="20"/>
      <c r="AF118" s="25"/>
      <c r="AG118" s="182"/>
      <c r="AH118" s="185"/>
      <c r="AI118" s="185"/>
      <c r="AJ118" s="185"/>
      <c r="AK118" s="185"/>
      <c r="AL118" s="185"/>
      <c r="AM118" s="188"/>
      <c r="AN118" s="188"/>
      <c r="AO118" s="20"/>
      <c r="AP118" s="25"/>
      <c r="AQ118" s="182"/>
      <c r="AR118" s="185"/>
      <c r="AS118" s="185"/>
      <c r="AT118" s="185"/>
      <c r="AU118" s="185"/>
      <c r="AV118" s="185"/>
      <c r="AW118" s="188"/>
      <c r="AX118" s="188"/>
      <c r="AY118" s="20"/>
      <c r="AZ118" s="25"/>
      <c r="BA118" s="182"/>
      <c r="BB118" s="185"/>
      <c r="BC118" s="185"/>
      <c r="BD118" s="185"/>
      <c r="BE118" s="185"/>
      <c r="BF118" s="185"/>
      <c r="BG118" s="188"/>
      <c r="BH118" s="188"/>
      <c r="BI118" s="20"/>
      <c r="BJ118" s="25"/>
      <c r="BK118" s="182"/>
      <c r="BL118" s="185"/>
      <c r="BM118" s="185"/>
      <c r="BN118" s="185"/>
      <c r="BO118" s="185"/>
      <c r="BP118" s="185"/>
      <c r="BQ118" s="188"/>
      <c r="BR118" s="188"/>
      <c r="BS118" s="20"/>
      <c r="BT118" s="25"/>
      <c r="BU118" s="1"/>
      <c r="BV118" s="1"/>
    </row>
    <row r="119" spans="1:74" ht="15" customHeight="1" thickBot="1" x14ac:dyDescent="0.25">
      <c r="A119" s="203"/>
      <c r="B119" s="138" t="s">
        <v>19</v>
      </c>
      <c r="C119" s="183"/>
      <c r="D119" s="186"/>
      <c r="E119" s="185"/>
      <c r="F119" s="185"/>
      <c r="G119" s="185"/>
      <c r="H119" s="185"/>
      <c r="I119" s="188"/>
      <c r="J119" s="188"/>
      <c r="K119" s="20"/>
      <c r="L119" s="25"/>
      <c r="M119" s="183"/>
      <c r="N119" s="186"/>
      <c r="O119" s="185"/>
      <c r="P119" s="185"/>
      <c r="Q119" s="185"/>
      <c r="R119" s="185"/>
      <c r="S119" s="188"/>
      <c r="T119" s="188"/>
      <c r="U119" s="20"/>
      <c r="V119" s="25"/>
      <c r="W119" s="183"/>
      <c r="X119" s="186"/>
      <c r="Y119" s="185"/>
      <c r="Z119" s="185"/>
      <c r="AA119" s="185"/>
      <c r="AB119" s="185"/>
      <c r="AC119" s="188"/>
      <c r="AD119" s="188"/>
      <c r="AE119" s="20"/>
      <c r="AF119" s="25"/>
      <c r="AG119" s="183"/>
      <c r="AH119" s="186"/>
      <c r="AI119" s="185"/>
      <c r="AJ119" s="185"/>
      <c r="AK119" s="185"/>
      <c r="AL119" s="185"/>
      <c r="AM119" s="188"/>
      <c r="AN119" s="188"/>
      <c r="AO119" s="20"/>
      <c r="AP119" s="25"/>
      <c r="AQ119" s="183"/>
      <c r="AR119" s="186"/>
      <c r="AS119" s="185"/>
      <c r="AT119" s="185"/>
      <c r="AU119" s="185"/>
      <c r="AV119" s="185"/>
      <c r="AW119" s="188"/>
      <c r="AX119" s="188"/>
      <c r="AY119" s="20"/>
      <c r="AZ119" s="25"/>
      <c r="BA119" s="183"/>
      <c r="BB119" s="186"/>
      <c r="BC119" s="185"/>
      <c r="BD119" s="185"/>
      <c r="BE119" s="185"/>
      <c r="BF119" s="185"/>
      <c r="BG119" s="188"/>
      <c r="BH119" s="188"/>
      <c r="BI119" s="20"/>
      <c r="BJ119" s="25"/>
      <c r="BK119" s="183"/>
      <c r="BL119" s="186"/>
      <c r="BM119" s="185"/>
      <c r="BN119" s="185"/>
      <c r="BO119" s="185"/>
      <c r="BP119" s="185"/>
      <c r="BQ119" s="188"/>
      <c r="BR119" s="188"/>
      <c r="BS119" s="20"/>
      <c r="BT119" s="25"/>
      <c r="BU119" s="1"/>
      <c r="BV119" s="1"/>
    </row>
    <row r="120" spans="1:74" ht="15" customHeight="1" thickBot="1" x14ac:dyDescent="0.25">
      <c r="A120" s="203"/>
      <c r="B120" s="138" t="s">
        <v>20</v>
      </c>
      <c r="C120" s="28"/>
      <c r="D120" s="20"/>
      <c r="E120" s="185"/>
      <c r="F120" s="185"/>
      <c r="G120" s="185"/>
      <c r="H120" s="185"/>
      <c r="I120" s="188"/>
      <c r="J120" s="188"/>
      <c r="K120" s="20"/>
      <c r="L120" s="25"/>
      <c r="M120" s="28"/>
      <c r="N120" s="20"/>
      <c r="O120" s="185"/>
      <c r="P120" s="185"/>
      <c r="Q120" s="185"/>
      <c r="R120" s="185"/>
      <c r="S120" s="188"/>
      <c r="T120" s="188"/>
      <c r="U120" s="20"/>
      <c r="V120" s="25"/>
      <c r="W120" s="28"/>
      <c r="X120" s="20"/>
      <c r="Y120" s="185"/>
      <c r="Z120" s="185"/>
      <c r="AA120" s="185"/>
      <c r="AB120" s="185"/>
      <c r="AC120" s="188"/>
      <c r="AD120" s="188"/>
      <c r="AE120" s="20"/>
      <c r="AF120" s="25"/>
      <c r="AG120" s="28"/>
      <c r="AH120" s="20"/>
      <c r="AI120" s="185"/>
      <c r="AJ120" s="185"/>
      <c r="AK120" s="185"/>
      <c r="AL120" s="185"/>
      <c r="AM120" s="188"/>
      <c r="AN120" s="188"/>
      <c r="AO120" s="20"/>
      <c r="AP120" s="25"/>
      <c r="AQ120" s="28"/>
      <c r="AR120" s="20"/>
      <c r="AS120" s="185"/>
      <c r="AT120" s="185"/>
      <c r="AU120" s="185"/>
      <c r="AV120" s="185"/>
      <c r="AW120" s="188"/>
      <c r="AX120" s="188"/>
      <c r="AY120" s="20"/>
      <c r="AZ120" s="25"/>
      <c r="BA120" s="28"/>
      <c r="BB120" s="20"/>
      <c r="BC120" s="185"/>
      <c r="BD120" s="185"/>
      <c r="BE120" s="185"/>
      <c r="BF120" s="185"/>
      <c r="BG120" s="188"/>
      <c r="BH120" s="188"/>
      <c r="BI120" s="20"/>
      <c r="BJ120" s="25"/>
      <c r="BK120" s="28"/>
      <c r="BL120" s="20"/>
      <c r="BM120" s="185"/>
      <c r="BN120" s="185"/>
      <c r="BO120" s="185"/>
      <c r="BP120" s="185"/>
      <c r="BQ120" s="188"/>
      <c r="BR120" s="188"/>
      <c r="BS120" s="20"/>
      <c r="BT120" s="25"/>
      <c r="BU120" s="1"/>
      <c r="BV120" s="1"/>
    </row>
    <row r="121" spans="1:74" ht="15" customHeight="1" thickBot="1" x14ac:dyDescent="0.25">
      <c r="A121" s="203"/>
      <c r="B121" s="138" t="s">
        <v>21</v>
      </c>
      <c r="C121" s="28"/>
      <c r="D121" s="20"/>
      <c r="E121" s="186"/>
      <c r="F121" s="186"/>
      <c r="G121" s="185"/>
      <c r="H121" s="185"/>
      <c r="I121" s="188"/>
      <c r="J121" s="188"/>
      <c r="K121" s="20"/>
      <c r="L121" s="25"/>
      <c r="M121" s="28"/>
      <c r="N121" s="20"/>
      <c r="O121" s="186"/>
      <c r="P121" s="186"/>
      <c r="Q121" s="185"/>
      <c r="R121" s="185"/>
      <c r="S121" s="188"/>
      <c r="T121" s="188"/>
      <c r="U121" s="20"/>
      <c r="V121" s="25"/>
      <c r="W121" s="28"/>
      <c r="X121" s="20"/>
      <c r="Y121" s="186"/>
      <c r="Z121" s="186"/>
      <c r="AA121" s="185"/>
      <c r="AB121" s="185"/>
      <c r="AC121" s="188"/>
      <c r="AD121" s="188"/>
      <c r="AE121" s="20"/>
      <c r="AF121" s="25"/>
      <c r="AG121" s="28"/>
      <c r="AH121" s="20"/>
      <c r="AI121" s="186"/>
      <c r="AJ121" s="186"/>
      <c r="AK121" s="185"/>
      <c r="AL121" s="185"/>
      <c r="AM121" s="188"/>
      <c r="AN121" s="188"/>
      <c r="AO121" s="20"/>
      <c r="AP121" s="25"/>
      <c r="AQ121" s="28"/>
      <c r="AR121" s="20"/>
      <c r="AS121" s="186"/>
      <c r="AT121" s="186"/>
      <c r="AU121" s="185"/>
      <c r="AV121" s="185"/>
      <c r="AW121" s="188"/>
      <c r="AX121" s="188"/>
      <c r="AY121" s="20"/>
      <c r="AZ121" s="25"/>
      <c r="BA121" s="28"/>
      <c r="BB121" s="20"/>
      <c r="BC121" s="186"/>
      <c r="BD121" s="186"/>
      <c r="BE121" s="185"/>
      <c r="BF121" s="185"/>
      <c r="BG121" s="188"/>
      <c r="BH121" s="188"/>
      <c r="BI121" s="20"/>
      <c r="BJ121" s="25"/>
      <c r="BK121" s="28"/>
      <c r="BL121" s="20"/>
      <c r="BM121" s="186"/>
      <c r="BN121" s="186"/>
      <c r="BO121" s="185"/>
      <c r="BP121" s="185"/>
      <c r="BQ121" s="188"/>
      <c r="BR121" s="188"/>
      <c r="BS121" s="20"/>
      <c r="BT121" s="25"/>
      <c r="BU121" s="1"/>
      <c r="BV121" s="1"/>
    </row>
    <row r="122" spans="1:74" ht="15" customHeight="1" thickBot="1" x14ac:dyDescent="0.25">
      <c r="A122" s="203"/>
      <c r="B122" s="138" t="s">
        <v>22</v>
      </c>
      <c r="C122" s="28"/>
      <c r="D122" s="20"/>
      <c r="E122" s="20"/>
      <c r="F122" s="20"/>
      <c r="G122" s="185"/>
      <c r="H122" s="185"/>
      <c r="I122" s="188"/>
      <c r="J122" s="188"/>
      <c r="K122" s="20"/>
      <c r="L122" s="25"/>
      <c r="M122" s="28"/>
      <c r="N122" s="20"/>
      <c r="O122" s="20"/>
      <c r="P122" s="20"/>
      <c r="Q122" s="185"/>
      <c r="R122" s="185"/>
      <c r="S122" s="188"/>
      <c r="T122" s="188"/>
      <c r="U122" s="20"/>
      <c r="V122" s="25"/>
      <c r="W122" s="28"/>
      <c r="X122" s="20"/>
      <c r="Y122" s="20"/>
      <c r="Z122" s="20"/>
      <c r="AA122" s="185"/>
      <c r="AB122" s="185"/>
      <c r="AC122" s="188"/>
      <c r="AD122" s="188"/>
      <c r="AE122" s="20"/>
      <c r="AF122" s="25"/>
      <c r="AG122" s="28"/>
      <c r="AH122" s="20"/>
      <c r="AI122" s="20"/>
      <c r="AJ122" s="20"/>
      <c r="AK122" s="185"/>
      <c r="AL122" s="185"/>
      <c r="AM122" s="188"/>
      <c r="AN122" s="188"/>
      <c r="AO122" s="20"/>
      <c r="AP122" s="25"/>
      <c r="AQ122" s="28"/>
      <c r="AR122" s="20"/>
      <c r="AS122" s="20"/>
      <c r="AT122" s="20"/>
      <c r="AU122" s="185"/>
      <c r="AV122" s="185"/>
      <c r="AW122" s="188"/>
      <c r="AX122" s="188"/>
      <c r="AY122" s="20"/>
      <c r="AZ122" s="25"/>
      <c r="BA122" s="28"/>
      <c r="BB122" s="20"/>
      <c r="BC122" s="20"/>
      <c r="BD122" s="20"/>
      <c r="BE122" s="185"/>
      <c r="BF122" s="185"/>
      <c r="BG122" s="188"/>
      <c r="BH122" s="188"/>
      <c r="BI122" s="20"/>
      <c r="BJ122" s="25"/>
      <c r="BK122" s="28"/>
      <c r="BL122" s="20"/>
      <c r="BM122" s="20"/>
      <c r="BN122" s="20"/>
      <c r="BO122" s="185"/>
      <c r="BP122" s="185"/>
      <c r="BQ122" s="188"/>
      <c r="BR122" s="188"/>
      <c r="BS122" s="20"/>
      <c r="BT122" s="25"/>
      <c r="BU122" s="1"/>
      <c r="BV122" s="1"/>
    </row>
    <row r="123" spans="1:74" ht="15" customHeight="1" thickBot="1" x14ac:dyDescent="0.25">
      <c r="A123" s="203"/>
      <c r="B123" s="138" t="s">
        <v>23</v>
      </c>
      <c r="C123" s="27"/>
      <c r="D123" s="20"/>
      <c r="E123" s="20"/>
      <c r="F123" s="21"/>
      <c r="G123" s="186"/>
      <c r="H123" s="186"/>
      <c r="I123" s="188"/>
      <c r="J123" s="188"/>
      <c r="K123" s="20"/>
      <c r="L123" s="25"/>
      <c r="M123" s="27"/>
      <c r="N123" s="20"/>
      <c r="O123" s="20"/>
      <c r="P123" s="21"/>
      <c r="Q123" s="186"/>
      <c r="R123" s="186"/>
      <c r="S123" s="188"/>
      <c r="T123" s="188"/>
      <c r="U123" s="20"/>
      <c r="V123" s="25"/>
      <c r="W123" s="27"/>
      <c r="X123" s="20"/>
      <c r="Y123" s="20"/>
      <c r="Z123" s="21"/>
      <c r="AA123" s="186"/>
      <c r="AB123" s="186"/>
      <c r="AC123" s="188"/>
      <c r="AD123" s="188"/>
      <c r="AE123" s="20"/>
      <c r="AF123" s="25"/>
      <c r="AG123" s="27"/>
      <c r="AH123" s="20"/>
      <c r="AI123" s="20"/>
      <c r="AJ123" s="21"/>
      <c r="AK123" s="186"/>
      <c r="AL123" s="186"/>
      <c r="AM123" s="188"/>
      <c r="AN123" s="188"/>
      <c r="AO123" s="20"/>
      <c r="AP123" s="25"/>
      <c r="AQ123" s="27"/>
      <c r="AR123" s="20"/>
      <c r="AS123" s="20"/>
      <c r="AT123" s="21"/>
      <c r="AU123" s="186"/>
      <c r="AV123" s="186"/>
      <c r="AW123" s="188"/>
      <c r="AX123" s="188"/>
      <c r="AY123" s="20"/>
      <c r="AZ123" s="25"/>
      <c r="BA123" s="27"/>
      <c r="BB123" s="20"/>
      <c r="BC123" s="20"/>
      <c r="BD123" s="21"/>
      <c r="BE123" s="186"/>
      <c r="BF123" s="186"/>
      <c r="BG123" s="188"/>
      <c r="BH123" s="188"/>
      <c r="BI123" s="20"/>
      <c r="BJ123" s="25"/>
      <c r="BK123" s="27"/>
      <c r="BL123" s="20"/>
      <c r="BM123" s="20"/>
      <c r="BN123" s="21"/>
      <c r="BO123" s="186"/>
      <c r="BP123" s="186"/>
      <c r="BQ123" s="188"/>
      <c r="BR123" s="188"/>
      <c r="BS123" s="20"/>
      <c r="BT123" s="25"/>
      <c r="BU123" s="1"/>
      <c r="BV123" s="1"/>
    </row>
    <row r="124" spans="1:74" ht="15" customHeight="1" thickBot="1" x14ac:dyDescent="0.25">
      <c r="A124" s="204"/>
      <c r="B124" s="138" t="s">
        <v>24</v>
      </c>
      <c r="C124" s="144"/>
      <c r="D124" s="142"/>
      <c r="E124" s="142"/>
      <c r="F124" s="142"/>
      <c r="G124" s="142"/>
      <c r="H124" s="142"/>
      <c r="I124" s="188"/>
      <c r="J124" s="188"/>
      <c r="K124" s="142"/>
      <c r="L124" s="143"/>
      <c r="M124" s="144"/>
      <c r="N124" s="142"/>
      <c r="O124" s="142"/>
      <c r="P124" s="142"/>
      <c r="Q124" s="142"/>
      <c r="R124" s="142"/>
      <c r="S124" s="188"/>
      <c r="T124" s="188"/>
      <c r="U124" s="142"/>
      <c r="V124" s="143"/>
      <c r="W124" s="144"/>
      <c r="X124" s="142"/>
      <c r="Y124" s="142"/>
      <c r="Z124" s="142"/>
      <c r="AA124" s="142"/>
      <c r="AB124" s="142"/>
      <c r="AC124" s="188"/>
      <c r="AD124" s="188"/>
      <c r="AE124" s="142"/>
      <c r="AF124" s="143"/>
      <c r="AG124" s="144"/>
      <c r="AH124" s="142"/>
      <c r="AI124" s="142"/>
      <c r="AJ124" s="142"/>
      <c r="AK124" s="142"/>
      <c r="AL124" s="142"/>
      <c r="AM124" s="188"/>
      <c r="AN124" s="188"/>
      <c r="AO124" s="142"/>
      <c r="AP124" s="143"/>
      <c r="AQ124" s="144"/>
      <c r="AR124" s="142"/>
      <c r="AS124" s="142"/>
      <c r="AT124" s="142"/>
      <c r="AU124" s="142"/>
      <c r="AV124" s="142"/>
      <c r="AW124" s="188"/>
      <c r="AX124" s="188"/>
      <c r="AY124" s="142"/>
      <c r="AZ124" s="143"/>
      <c r="BA124" s="144"/>
      <c r="BB124" s="142"/>
      <c r="BC124" s="142"/>
      <c r="BD124" s="142"/>
      <c r="BE124" s="142"/>
      <c r="BF124" s="142"/>
      <c r="BG124" s="188"/>
      <c r="BH124" s="188"/>
      <c r="BI124" s="142"/>
      <c r="BJ124" s="143"/>
      <c r="BK124" s="144"/>
      <c r="BL124" s="142"/>
      <c r="BM124" s="142"/>
      <c r="BN124" s="142"/>
      <c r="BO124" s="142"/>
      <c r="BP124" s="142"/>
      <c r="BQ124" s="188"/>
      <c r="BR124" s="188"/>
      <c r="BS124" s="142"/>
      <c r="BT124" s="143"/>
      <c r="BU124" s="1"/>
      <c r="BV124" s="1"/>
    </row>
    <row r="125" spans="1:74" ht="15" customHeight="1" x14ac:dyDescent="0.2">
      <c r="A125" s="134"/>
      <c r="B125" s="138" t="s">
        <v>1</v>
      </c>
      <c r="C125" s="149"/>
      <c r="D125" s="145"/>
      <c r="E125" s="145"/>
      <c r="F125" s="145"/>
      <c r="G125" s="145"/>
      <c r="H125" s="145"/>
      <c r="I125" s="188"/>
      <c r="J125" s="188"/>
      <c r="K125" s="145"/>
      <c r="L125" s="150"/>
      <c r="M125" s="149"/>
      <c r="N125" s="145"/>
      <c r="O125" s="145"/>
      <c r="P125" s="145"/>
      <c r="Q125" s="145"/>
      <c r="R125" s="145"/>
      <c r="S125" s="188"/>
      <c r="T125" s="188"/>
      <c r="U125" s="145"/>
      <c r="V125" s="150"/>
      <c r="W125" s="149"/>
      <c r="X125" s="145"/>
      <c r="Y125" s="145"/>
      <c r="Z125" s="145"/>
      <c r="AA125" s="145"/>
      <c r="AB125" s="145"/>
      <c r="AC125" s="188"/>
      <c r="AD125" s="188"/>
      <c r="AE125" s="145"/>
      <c r="AF125" s="150"/>
      <c r="AG125" s="149"/>
      <c r="AH125" s="145"/>
      <c r="AI125" s="145"/>
      <c r="AJ125" s="145"/>
      <c r="AK125" s="145"/>
      <c r="AL125" s="145"/>
      <c r="AM125" s="188"/>
      <c r="AN125" s="188"/>
      <c r="AO125" s="145"/>
      <c r="AP125" s="150"/>
      <c r="AQ125" s="149"/>
      <c r="AR125" s="145"/>
      <c r="AS125" s="145"/>
      <c r="AT125" s="145"/>
      <c r="AU125" s="145"/>
      <c r="AV125" s="145"/>
      <c r="AW125" s="188"/>
      <c r="AX125" s="188"/>
      <c r="AY125" s="145"/>
      <c r="AZ125" s="150"/>
      <c r="BA125" s="149"/>
      <c r="BB125" s="145"/>
      <c r="BC125" s="145"/>
      <c r="BD125" s="145"/>
      <c r="BE125" s="145"/>
      <c r="BF125" s="145"/>
      <c r="BG125" s="188"/>
      <c r="BH125" s="188"/>
      <c r="BI125" s="145"/>
      <c r="BJ125" s="150"/>
      <c r="BK125" s="149"/>
      <c r="BL125" s="145"/>
      <c r="BM125" s="145"/>
      <c r="BN125" s="145"/>
      <c r="BO125" s="145"/>
      <c r="BP125" s="145"/>
      <c r="BQ125" s="188"/>
      <c r="BR125" s="188"/>
      <c r="BS125" s="145"/>
      <c r="BT125" s="150"/>
      <c r="BU125" s="1"/>
      <c r="BV125" s="1"/>
    </row>
    <row r="126" spans="1:74" ht="15" customHeight="1" thickBot="1" x14ac:dyDescent="0.25">
      <c r="A126" s="134"/>
      <c r="B126" s="138" t="s">
        <v>2</v>
      </c>
      <c r="C126" s="136"/>
      <c r="D126" s="135"/>
      <c r="E126" s="135"/>
      <c r="F126" s="135"/>
      <c r="G126" s="135"/>
      <c r="H126" s="135"/>
      <c r="I126" s="189"/>
      <c r="J126" s="189"/>
      <c r="K126" s="135"/>
      <c r="L126" s="137"/>
      <c r="M126" s="136"/>
      <c r="N126" s="135"/>
      <c r="O126" s="135"/>
      <c r="P126" s="135"/>
      <c r="Q126" s="135"/>
      <c r="R126" s="135"/>
      <c r="S126" s="189"/>
      <c r="T126" s="189"/>
      <c r="U126" s="135"/>
      <c r="V126" s="137"/>
      <c r="W126" s="136"/>
      <c r="X126" s="135"/>
      <c r="Y126" s="135"/>
      <c r="Z126" s="135"/>
      <c r="AA126" s="135"/>
      <c r="AB126" s="135"/>
      <c r="AC126" s="189"/>
      <c r="AD126" s="189"/>
      <c r="AE126" s="135"/>
      <c r="AF126" s="137"/>
      <c r="AG126" s="136"/>
      <c r="AH126" s="135"/>
      <c r="AI126" s="135"/>
      <c r="AJ126" s="135"/>
      <c r="AK126" s="135"/>
      <c r="AL126" s="135"/>
      <c r="AM126" s="189"/>
      <c r="AN126" s="189"/>
      <c r="AO126" s="135"/>
      <c r="AP126" s="137"/>
      <c r="AQ126" s="136"/>
      <c r="AR126" s="135"/>
      <c r="AS126" s="135"/>
      <c r="AT126" s="135"/>
      <c r="AU126" s="135"/>
      <c r="AV126" s="135"/>
      <c r="AW126" s="189"/>
      <c r="AX126" s="189"/>
      <c r="AY126" s="135"/>
      <c r="AZ126" s="137"/>
      <c r="BA126" s="136"/>
      <c r="BB126" s="135"/>
      <c r="BC126" s="135"/>
      <c r="BD126" s="135"/>
      <c r="BE126" s="135"/>
      <c r="BF126" s="135"/>
      <c r="BG126" s="189"/>
      <c r="BH126" s="189"/>
      <c r="BI126" s="135"/>
      <c r="BJ126" s="137"/>
      <c r="BK126" s="136"/>
      <c r="BL126" s="135"/>
      <c r="BM126" s="135"/>
      <c r="BN126" s="135"/>
      <c r="BO126" s="135"/>
      <c r="BP126" s="135"/>
      <c r="BQ126" s="189"/>
      <c r="BR126" s="189"/>
      <c r="BS126" s="135"/>
      <c r="BT126" s="137"/>
      <c r="BU126" s="1"/>
      <c r="BV126" s="1"/>
    </row>
    <row r="127" spans="1:74" ht="15" customHeight="1" thickBot="1" x14ac:dyDescent="0.25">
      <c r="A127" s="193" t="s">
        <v>28</v>
      </c>
      <c r="B127" s="195" t="str">
        <f>UPPER(TEXT(Configuração!AF8,"[$]ddd"))</f>
        <v>QUA</v>
      </c>
      <c r="C127" s="196"/>
      <c r="D127" s="196"/>
      <c r="E127" s="196"/>
      <c r="F127" s="196"/>
      <c r="G127" s="196"/>
      <c r="H127" s="196"/>
      <c r="I127" s="196"/>
      <c r="J127" s="196"/>
      <c r="K127" s="196"/>
      <c r="L127" s="197"/>
      <c r="M127" s="195" t="str">
        <f>UPPER(TEXT(Configuração!AG8,"[$]ddd"))</f>
        <v>QUI</v>
      </c>
      <c r="N127" s="196"/>
      <c r="O127" s="196"/>
      <c r="P127" s="196"/>
      <c r="Q127" s="196"/>
      <c r="R127" s="196"/>
      <c r="S127" s="196"/>
      <c r="T127" s="196"/>
      <c r="U127" s="196"/>
      <c r="V127" s="197"/>
      <c r="W127" s="195" t="str">
        <f>UPPER(TEXT(Configuração!AH8,"[$]ddd"))</f>
        <v>SEX</v>
      </c>
      <c r="X127" s="196"/>
      <c r="Y127" s="196"/>
      <c r="Z127" s="196"/>
      <c r="AA127" s="196"/>
      <c r="AB127" s="196"/>
      <c r="AC127" s="196"/>
      <c r="AD127" s="196"/>
      <c r="AE127" s="196"/>
      <c r="AF127" s="197"/>
      <c r="AG127" s="196"/>
      <c r="AH127" s="196"/>
      <c r="AI127" s="196"/>
      <c r="AJ127" s="196"/>
      <c r="AK127" s="196"/>
      <c r="AL127" s="196"/>
      <c r="AM127" s="196"/>
      <c r="AN127" s="196"/>
      <c r="AO127" s="196"/>
      <c r="AP127" s="196"/>
      <c r="AQ127" s="195"/>
      <c r="AR127" s="196"/>
      <c r="AS127" s="196"/>
      <c r="AT127" s="196"/>
      <c r="AU127" s="196"/>
      <c r="AV127" s="196"/>
      <c r="AW127" s="196"/>
      <c r="AX127" s="196"/>
      <c r="AY127" s="196"/>
      <c r="AZ127" s="197"/>
      <c r="BA127" s="195"/>
      <c r="BB127" s="196"/>
      <c r="BC127" s="196"/>
      <c r="BD127" s="196"/>
      <c r="BE127" s="196"/>
      <c r="BF127" s="196"/>
      <c r="BG127" s="196"/>
      <c r="BH127" s="196"/>
      <c r="BI127" s="196"/>
      <c r="BJ127" s="197"/>
      <c r="BK127" s="195"/>
      <c r="BL127" s="196"/>
      <c r="BM127" s="196"/>
      <c r="BN127" s="196"/>
      <c r="BO127" s="196"/>
      <c r="BP127" s="196"/>
      <c r="BQ127" s="196"/>
      <c r="BR127" s="196"/>
      <c r="BS127" s="196"/>
      <c r="BT127" s="197"/>
      <c r="BU127" s="1"/>
      <c r="BV127" s="1"/>
    </row>
    <row r="128" spans="1:74" ht="15" customHeight="1" thickBot="1" x14ac:dyDescent="0.25">
      <c r="A128" s="194"/>
      <c r="B128" s="200"/>
      <c r="C128" s="205">
        <f>Configuração!AF9</f>
        <v>45441</v>
      </c>
      <c r="D128" s="206"/>
      <c r="E128" s="206"/>
      <c r="F128" s="206"/>
      <c r="G128" s="206"/>
      <c r="H128" s="206"/>
      <c r="I128" s="206"/>
      <c r="J128" s="206"/>
      <c r="K128" s="206"/>
      <c r="L128" s="207"/>
      <c r="M128" s="205">
        <f>Configuração!AG9</f>
        <v>45442</v>
      </c>
      <c r="N128" s="206"/>
      <c r="O128" s="206"/>
      <c r="P128" s="206"/>
      <c r="Q128" s="206"/>
      <c r="R128" s="206"/>
      <c r="S128" s="206"/>
      <c r="T128" s="206"/>
      <c r="U128" s="206"/>
      <c r="V128" s="207"/>
      <c r="W128" s="205">
        <f>Configuração!AH9</f>
        <v>45443</v>
      </c>
      <c r="X128" s="206"/>
      <c r="Y128" s="206"/>
      <c r="Z128" s="206"/>
      <c r="AA128" s="206"/>
      <c r="AB128" s="206"/>
      <c r="AC128" s="206"/>
      <c r="AD128" s="206"/>
      <c r="AE128" s="206"/>
      <c r="AF128" s="207"/>
      <c r="AG128" s="195"/>
      <c r="AH128" s="196"/>
      <c r="AI128" s="196"/>
      <c r="AJ128" s="196"/>
      <c r="AK128" s="196"/>
      <c r="AL128" s="196"/>
      <c r="AM128" s="196"/>
      <c r="AN128" s="196"/>
      <c r="AO128" s="196"/>
      <c r="AP128" s="197"/>
      <c r="AQ128" s="195"/>
      <c r="AR128" s="196"/>
      <c r="AS128" s="196"/>
      <c r="AT128" s="196"/>
      <c r="AU128" s="196"/>
      <c r="AV128" s="196"/>
      <c r="AW128" s="196"/>
      <c r="AX128" s="196"/>
      <c r="AY128" s="196"/>
      <c r="AZ128" s="197"/>
      <c r="BA128" s="195"/>
      <c r="BB128" s="196"/>
      <c r="BC128" s="196"/>
      <c r="BD128" s="196"/>
      <c r="BE128" s="196"/>
      <c r="BF128" s="196"/>
      <c r="BG128" s="196"/>
      <c r="BH128" s="196"/>
      <c r="BI128" s="196"/>
      <c r="BJ128" s="197"/>
      <c r="BK128" s="195"/>
      <c r="BL128" s="196"/>
      <c r="BM128" s="196"/>
      <c r="BN128" s="196"/>
      <c r="BO128" s="196"/>
      <c r="BP128" s="196"/>
      <c r="BQ128" s="196"/>
      <c r="BR128" s="196"/>
      <c r="BS128" s="196"/>
      <c r="BT128" s="197"/>
      <c r="BU128" s="1"/>
      <c r="BV128" s="1"/>
    </row>
    <row r="129" spans="1:74" ht="15" customHeight="1" x14ac:dyDescent="0.2">
      <c r="A129" s="194"/>
      <c r="B129" s="201"/>
      <c r="C129" s="64">
        <v>1</v>
      </c>
      <c r="D129" s="65">
        <v>2</v>
      </c>
      <c r="E129" s="66">
        <v>3</v>
      </c>
      <c r="F129" s="66">
        <v>4</v>
      </c>
      <c r="G129" s="66">
        <v>5</v>
      </c>
      <c r="H129" s="65">
        <v>6</v>
      </c>
      <c r="I129" s="147">
        <v>7</v>
      </c>
      <c r="J129" s="65">
        <v>8</v>
      </c>
      <c r="K129" s="65">
        <v>9</v>
      </c>
      <c r="L129" s="63">
        <v>10</v>
      </c>
      <c r="M129" s="64">
        <v>1</v>
      </c>
      <c r="N129" s="65">
        <v>2</v>
      </c>
      <c r="O129" s="66">
        <v>3</v>
      </c>
      <c r="P129" s="66">
        <v>4</v>
      </c>
      <c r="Q129" s="66">
        <v>5</v>
      </c>
      <c r="R129" s="65">
        <v>6</v>
      </c>
      <c r="S129" s="147">
        <v>7</v>
      </c>
      <c r="T129" s="65">
        <v>8</v>
      </c>
      <c r="U129" s="65">
        <v>9</v>
      </c>
      <c r="V129" s="63">
        <v>10</v>
      </c>
      <c r="W129" s="64">
        <v>1</v>
      </c>
      <c r="X129" s="65">
        <v>2</v>
      </c>
      <c r="Y129" s="66">
        <v>3</v>
      </c>
      <c r="Z129" s="66">
        <v>4</v>
      </c>
      <c r="AA129" s="66">
        <v>5</v>
      </c>
      <c r="AB129" s="65">
        <v>6</v>
      </c>
      <c r="AC129" s="147">
        <v>7</v>
      </c>
      <c r="AD129" s="65">
        <v>8</v>
      </c>
      <c r="AE129" s="65">
        <v>9</v>
      </c>
      <c r="AF129" s="63">
        <v>10</v>
      </c>
      <c r="AG129" s="26"/>
      <c r="AH129" s="3"/>
      <c r="AI129" s="2"/>
      <c r="AJ129" s="2"/>
      <c r="AK129" s="2"/>
      <c r="AL129" s="3"/>
      <c r="AM129" s="148"/>
      <c r="AN129" s="3"/>
      <c r="AO129" s="3"/>
      <c r="AP129" s="24"/>
      <c r="AQ129" s="26"/>
      <c r="AR129" s="3"/>
      <c r="AS129" s="2"/>
      <c r="AT129" s="2"/>
      <c r="AU129" s="2"/>
      <c r="AV129" s="3"/>
      <c r="AW129" s="148"/>
      <c r="AX129" s="3"/>
      <c r="AY129" s="3"/>
      <c r="AZ129" s="24"/>
      <c r="BA129" s="26"/>
      <c r="BB129" s="3"/>
      <c r="BC129" s="2"/>
      <c r="BD129" s="2"/>
      <c r="BE129" s="2"/>
      <c r="BF129" s="3"/>
      <c r="BG129" s="148"/>
      <c r="BH129" s="3"/>
      <c r="BI129" s="3"/>
      <c r="BJ129" s="24"/>
      <c r="BK129" s="26"/>
      <c r="BL129" s="3"/>
      <c r="BM129" s="2"/>
      <c r="BN129" s="2"/>
      <c r="BO129" s="2"/>
      <c r="BP129" s="3"/>
      <c r="BQ129" s="148"/>
      <c r="BR129" s="3"/>
      <c r="BS129" s="3"/>
      <c r="BT129" s="24"/>
      <c r="BU129" s="1"/>
      <c r="BV129" s="1"/>
    </row>
    <row r="130" spans="1:74" ht="15" customHeight="1" x14ac:dyDescent="0.2">
      <c r="A130" s="194"/>
      <c r="B130" s="5" t="s">
        <v>1</v>
      </c>
      <c r="C130" s="27"/>
      <c r="D130" s="20"/>
      <c r="E130" s="20"/>
      <c r="F130" s="21"/>
      <c r="G130" s="20"/>
      <c r="H130" s="20"/>
      <c r="I130" s="20"/>
      <c r="J130" s="19"/>
      <c r="K130" s="20"/>
      <c r="L130" s="25"/>
      <c r="M130" s="27"/>
      <c r="N130" s="20"/>
      <c r="O130" s="20"/>
      <c r="P130" s="21"/>
      <c r="Q130" s="20"/>
      <c r="R130" s="20"/>
      <c r="S130" s="20"/>
      <c r="T130" s="19"/>
      <c r="U130" s="20"/>
      <c r="V130" s="25"/>
      <c r="W130" s="27"/>
      <c r="X130" s="20"/>
      <c r="Y130" s="20"/>
      <c r="Z130" s="21"/>
      <c r="AA130" s="20"/>
      <c r="AB130" s="20"/>
      <c r="AC130" s="20"/>
      <c r="AD130" s="19"/>
      <c r="AE130" s="20"/>
      <c r="AF130" s="25"/>
      <c r="AG130" s="29"/>
      <c r="AH130" s="146"/>
      <c r="AI130" s="146"/>
      <c r="AJ130" s="146"/>
      <c r="AK130" s="146"/>
      <c r="AL130" s="146"/>
      <c r="AM130" s="146"/>
      <c r="AN130" s="146"/>
      <c r="AO130" s="146"/>
      <c r="AP130" s="30"/>
      <c r="AQ130" s="29"/>
      <c r="AR130" s="146"/>
      <c r="AS130" s="146"/>
      <c r="AT130" s="146"/>
      <c r="AU130" s="146"/>
      <c r="AV130" s="146"/>
      <c r="AW130" s="146"/>
      <c r="AX130" s="146"/>
      <c r="AY130" s="146"/>
      <c r="AZ130" s="30"/>
      <c r="BA130" s="29"/>
      <c r="BB130" s="146"/>
      <c r="BC130" s="146"/>
      <c r="BD130" s="146"/>
      <c r="BE130" s="146"/>
      <c r="BF130" s="146"/>
      <c r="BG130" s="146"/>
      <c r="BH130" s="146"/>
      <c r="BI130" s="146"/>
      <c r="BJ130" s="30"/>
      <c r="BK130" s="29"/>
      <c r="BL130" s="146"/>
      <c r="BM130" s="146"/>
      <c r="BN130" s="146"/>
      <c r="BO130" s="146"/>
      <c r="BP130" s="146"/>
      <c r="BQ130" s="146"/>
      <c r="BR130" s="146"/>
      <c r="BS130" s="146"/>
      <c r="BT130" s="30"/>
      <c r="BU130" s="1"/>
      <c r="BV130" s="1"/>
    </row>
    <row r="131" spans="1:74" ht="15" customHeight="1" x14ac:dyDescent="0.2">
      <c r="A131" s="194"/>
      <c r="B131" s="4" t="s">
        <v>75</v>
      </c>
      <c r="C131" s="28"/>
      <c r="D131" s="20"/>
      <c r="E131" s="20"/>
      <c r="F131" s="20"/>
      <c r="G131" s="20"/>
      <c r="H131" s="20"/>
      <c r="I131" s="20"/>
      <c r="J131" s="18"/>
      <c r="K131" s="184" t="str">
        <f>IF(Configuração!AF18=EscalaLinear!BY5,10,IF(Configuração!AF18=BY6,9,IF(Configuração!AF18=BY7,8,IF(Configuração!AF18=BY8,7,IF(Configuração!AF18=BY9,6,IF(Configuração!AF18=BY10,5,IF(Configuração!AF18=BY11,4,IF(Configuração!AF18=BY12,3,IF(Configuração!AF18=BY13,2,IF(Configuração!AF18=BY14,1,""))))))))))</f>
        <v/>
      </c>
      <c r="L131" s="190" t="str">
        <f>IF(Configuração!AF19=EscalaLinear!BY5,10,IF(Configuração!AF19=BY6,9,IF(Configuração!AF19=BY7,8,IF(Configuração!AF19=BY8,7,IF(Configuração!AF19=BY9,6,IF(Configuração!AF19=BY10,5,IF(Configuração!AF19=BY11,4,IF(Configuração!AF19=BY12,3,IF(Configuração!AF19=BY13,2,IF(Configuração!AF19=BY14,1,""))))))))))</f>
        <v/>
      </c>
      <c r="M131" s="28"/>
      <c r="N131" s="20"/>
      <c r="O131" s="20"/>
      <c r="P131" s="20"/>
      <c r="Q131" s="20"/>
      <c r="R131" s="20"/>
      <c r="S131" s="20"/>
      <c r="T131" s="18"/>
      <c r="U131" s="184" t="str">
        <f>IF(Configuração!AG18=EscalaLinear!BY5,10,IF(Configuração!AG18=BY6,9,IF(Configuração!AG18=BY7,8,IF(Configuração!AG18=BY8,7,IF(Configuração!AG18=BY9,6,IF(Configuração!AG18=BY10,5,IF(Configuração!AG18=BY11,4,IF(Configuração!AG18=BY12,3,IF(Configuração!AG18=BY13,2,IF(Configuração!AG18=BY14,1,""))))))))))</f>
        <v/>
      </c>
      <c r="V131" s="190" t="str">
        <f>IF(Configuração!AG19=EscalaLinear!BY5,10,IF(Configuração!AG19=BY6,9,IF(Configuração!AG19=BY7,8,IF(Configuração!AG19=BY8,7,IF(Configuração!AG19=BY9,6,IF(Configuração!AG19=BY10,5,IF(Configuração!AG19=BY11,4,IF(Configuração!AG19=BY12,3,IF(Configuração!AG19=BY13,2,IF(Configuração!AG19=BY14,1,""))))))))))</f>
        <v/>
      </c>
      <c r="W131" s="28"/>
      <c r="X131" s="20"/>
      <c r="Y131" s="20"/>
      <c r="Z131" s="20"/>
      <c r="AA131" s="20"/>
      <c r="AB131" s="20"/>
      <c r="AC131" s="20"/>
      <c r="AD131" s="18"/>
      <c r="AE131" s="184" t="str">
        <f>IF(Configuração!AH18=EscalaLinear!BY5,10,IF(Configuração!AH18=BY6,9,IF(Configuração!AH18=BY7,8,IF(Configuração!AH18=BY8,7,IF(Configuração!AH18=BY9,6,IF(Configuração!AH18=BY10,5,IF(Configuração!AH18=BY11,4,IF(Configuração!AH18=BY12,3,IF(Configuração!AH18=BY13,2,IF(Configuração!AH18=BY14,1,""))))))))))</f>
        <v/>
      </c>
      <c r="AF131" s="190" t="str">
        <f>IF(Configuração!AH19=EscalaLinear!BY5,10,IF(Configuração!AH19=BY6,9,IF(Configuração!AH19=BY7,8,IF(Configuração!AH19=BY8,7,IF(Configuração!AH19=BY9,6,IF(Configuração!AH19=BY10,5,IF(Configuração!AH19=BY11,4,IF(Configuração!AH19=BY12,3,IF(Configuração!AH19=BY13,2,IF(Configuração!AH19=BY14,1,""))))))))))</f>
        <v/>
      </c>
      <c r="AG131" s="29"/>
      <c r="AH131" s="146"/>
      <c r="AI131" s="146"/>
      <c r="AJ131" s="146"/>
      <c r="AK131" s="146"/>
      <c r="AL131" s="146"/>
      <c r="AM131" s="146"/>
      <c r="AN131" s="146"/>
      <c r="AO131" s="146"/>
      <c r="AP131" s="30"/>
      <c r="AQ131" s="29"/>
      <c r="AR131" s="146"/>
      <c r="AS131" s="146"/>
      <c r="AT131" s="146"/>
      <c r="AU131" s="146"/>
      <c r="AV131" s="146"/>
      <c r="AW131" s="146"/>
      <c r="AX131" s="146"/>
      <c r="AY131" s="146"/>
      <c r="AZ131" s="30"/>
      <c r="BA131" s="29"/>
      <c r="BB131" s="146"/>
      <c r="BC131" s="146"/>
      <c r="BD131" s="146"/>
      <c r="BE131" s="146"/>
      <c r="BF131" s="146"/>
      <c r="BG131" s="146"/>
      <c r="BH131" s="146"/>
      <c r="BI131" s="146"/>
      <c r="BJ131" s="30"/>
      <c r="BK131" s="29"/>
      <c r="BL131" s="146"/>
      <c r="BM131" s="146"/>
      <c r="BN131" s="146"/>
      <c r="BO131" s="146"/>
      <c r="BP131" s="146"/>
      <c r="BQ131" s="146"/>
      <c r="BR131" s="146"/>
      <c r="BS131" s="146"/>
      <c r="BT131" s="30"/>
      <c r="BU131" s="1"/>
      <c r="BV131" s="1"/>
    </row>
    <row r="132" spans="1:74" ht="15" customHeight="1" x14ac:dyDescent="0.2">
      <c r="A132" s="194"/>
      <c r="B132" s="5" t="s">
        <v>2</v>
      </c>
      <c r="C132" s="28"/>
      <c r="D132" s="20"/>
      <c r="E132" s="20"/>
      <c r="F132" s="20"/>
      <c r="G132" s="20"/>
      <c r="H132" s="20"/>
      <c r="I132" s="20"/>
      <c r="J132" s="18"/>
      <c r="K132" s="185"/>
      <c r="L132" s="191"/>
      <c r="M132" s="28"/>
      <c r="N132" s="20"/>
      <c r="O132" s="20"/>
      <c r="P132" s="20"/>
      <c r="Q132" s="20"/>
      <c r="R132" s="20"/>
      <c r="S132" s="20"/>
      <c r="T132" s="18"/>
      <c r="U132" s="185"/>
      <c r="V132" s="191"/>
      <c r="W132" s="28"/>
      <c r="X132" s="20"/>
      <c r="Y132" s="20"/>
      <c r="Z132" s="20"/>
      <c r="AA132" s="20"/>
      <c r="AB132" s="20"/>
      <c r="AC132" s="20"/>
      <c r="AD132" s="18"/>
      <c r="AE132" s="185"/>
      <c r="AF132" s="191"/>
      <c r="AG132" s="29"/>
      <c r="AH132" s="146"/>
      <c r="AI132" s="146"/>
      <c r="AJ132" s="146"/>
      <c r="AK132" s="146"/>
      <c r="AL132" s="146"/>
      <c r="AM132" s="146"/>
      <c r="AN132" s="146"/>
      <c r="AO132" s="146"/>
      <c r="AP132" s="30"/>
      <c r="AQ132" s="29"/>
      <c r="AR132" s="146"/>
      <c r="AS132" s="146"/>
      <c r="AT132" s="146"/>
      <c r="AU132" s="146"/>
      <c r="AV132" s="146"/>
      <c r="AW132" s="146"/>
      <c r="AX132" s="146"/>
      <c r="AY132" s="146"/>
      <c r="AZ132" s="30"/>
      <c r="BA132" s="29"/>
      <c r="BB132" s="146"/>
      <c r="BC132" s="146"/>
      <c r="BD132" s="146"/>
      <c r="BE132" s="146"/>
      <c r="BF132" s="146"/>
      <c r="BG132" s="146"/>
      <c r="BH132" s="146"/>
      <c r="BI132" s="146"/>
      <c r="BJ132" s="30"/>
      <c r="BK132" s="29"/>
      <c r="BL132" s="146"/>
      <c r="BM132" s="146"/>
      <c r="BN132" s="146"/>
      <c r="BO132" s="146"/>
      <c r="BP132" s="146"/>
      <c r="BQ132" s="146"/>
      <c r="BR132" s="146"/>
      <c r="BS132" s="146"/>
      <c r="BT132" s="30"/>
      <c r="BU132" s="1"/>
      <c r="BV132" s="1"/>
    </row>
    <row r="133" spans="1:74" ht="15" customHeight="1" x14ac:dyDescent="0.2">
      <c r="A133" s="194"/>
      <c r="B133" s="5" t="s">
        <v>3</v>
      </c>
      <c r="C133" s="28"/>
      <c r="D133" s="20"/>
      <c r="E133" s="20"/>
      <c r="F133" s="20"/>
      <c r="G133" s="20"/>
      <c r="H133" s="20"/>
      <c r="I133" s="20"/>
      <c r="J133" s="18"/>
      <c r="K133" s="185"/>
      <c r="L133" s="191"/>
      <c r="M133" s="28"/>
      <c r="N133" s="20"/>
      <c r="O133" s="20"/>
      <c r="P133" s="20"/>
      <c r="Q133" s="20"/>
      <c r="R133" s="20"/>
      <c r="S133" s="20"/>
      <c r="T133" s="18"/>
      <c r="U133" s="185"/>
      <c r="V133" s="191"/>
      <c r="W133" s="28"/>
      <c r="X133" s="20"/>
      <c r="Y133" s="20"/>
      <c r="Z133" s="20"/>
      <c r="AA133" s="20"/>
      <c r="AB133" s="20"/>
      <c r="AC133" s="20"/>
      <c r="AD133" s="18"/>
      <c r="AE133" s="185"/>
      <c r="AF133" s="191"/>
      <c r="AG133" s="29"/>
      <c r="AH133" s="146"/>
      <c r="AI133" s="146"/>
      <c r="AJ133" s="146"/>
      <c r="AK133" s="146"/>
      <c r="AL133" s="146"/>
      <c r="AM133" s="146"/>
      <c r="AN133" s="146"/>
      <c r="AO133" s="146"/>
      <c r="AP133" s="30"/>
      <c r="AQ133" s="29"/>
      <c r="AR133" s="146"/>
      <c r="AS133" s="146"/>
      <c r="AT133" s="146"/>
      <c r="AU133" s="146"/>
      <c r="AV133" s="146"/>
      <c r="AW133" s="146"/>
      <c r="AX133" s="146"/>
      <c r="AY133" s="146"/>
      <c r="AZ133" s="30"/>
      <c r="BA133" s="29"/>
      <c r="BB133" s="146"/>
      <c r="BC133" s="146"/>
      <c r="BD133" s="146"/>
      <c r="BE133" s="146"/>
      <c r="BF133" s="146"/>
      <c r="BG133" s="146"/>
      <c r="BH133" s="146"/>
      <c r="BI133" s="146"/>
      <c r="BJ133" s="30"/>
      <c r="BK133" s="29"/>
      <c r="BL133" s="146"/>
      <c r="BM133" s="146"/>
      <c r="BN133" s="146"/>
      <c r="BO133" s="146"/>
      <c r="BP133" s="146"/>
      <c r="BQ133" s="146"/>
      <c r="BR133" s="146"/>
      <c r="BS133" s="146"/>
      <c r="BT133" s="30"/>
      <c r="BU133" s="1"/>
      <c r="BV133" s="1"/>
    </row>
    <row r="134" spans="1:74" ht="15" customHeight="1" x14ac:dyDescent="0.2">
      <c r="A134" s="194"/>
      <c r="B134" s="5" t="s">
        <v>4</v>
      </c>
      <c r="C134" s="28"/>
      <c r="D134" s="20"/>
      <c r="E134" s="20"/>
      <c r="F134" s="20"/>
      <c r="G134" s="20"/>
      <c r="H134" s="20"/>
      <c r="I134" s="20"/>
      <c r="J134" s="18"/>
      <c r="K134" s="185"/>
      <c r="L134" s="191"/>
      <c r="M134" s="28"/>
      <c r="N134" s="20"/>
      <c r="O134" s="20"/>
      <c r="P134" s="20"/>
      <c r="Q134" s="20"/>
      <c r="R134" s="20"/>
      <c r="S134" s="20"/>
      <c r="T134" s="18"/>
      <c r="U134" s="185"/>
      <c r="V134" s="191"/>
      <c r="W134" s="28"/>
      <c r="X134" s="20"/>
      <c r="Y134" s="20"/>
      <c r="Z134" s="20"/>
      <c r="AA134" s="20"/>
      <c r="AB134" s="20"/>
      <c r="AC134" s="20"/>
      <c r="AD134" s="18"/>
      <c r="AE134" s="185"/>
      <c r="AF134" s="191"/>
      <c r="AG134" s="29"/>
      <c r="AH134" s="146"/>
      <c r="AI134" s="146"/>
      <c r="AJ134" s="146"/>
      <c r="AK134" s="146"/>
      <c r="AL134" s="146"/>
      <c r="AM134" s="146"/>
      <c r="AN134" s="146"/>
      <c r="AO134" s="146"/>
      <c r="AP134" s="30"/>
      <c r="AQ134" s="29"/>
      <c r="AR134" s="146"/>
      <c r="AS134" s="146"/>
      <c r="AT134" s="146"/>
      <c r="AU134" s="146"/>
      <c r="AV134" s="146"/>
      <c r="AW134" s="146"/>
      <c r="AX134" s="146"/>
      <c r="AY134" s="146"/>
      <c r="AZ134" s="30"/>
      <c r="BA134" s="29"/>
      <c r="BB134" s="146"/>
      <c r="BC134" s="146"/>
      <c r="BD134" s="146"/>
      <c r="BE134" s="146"/>
      <c r="BF134" s="146"/>
      <c r="BG134" s="146"/>
      <c r="BH134" s="146"/>
      <c r="BI134" s="146"/>
      <c r="BJ134" s="30"/>
      <c r="BK134" s="29"/>
      <c r="BL134" s="146"/>
      <c r="BM134" s="146"/>
      <c r="BN134" s="146"/>
      <c r="BO134" s="146"/>
      <c r="BP134" s="146"/>
      <c r="BQ134" s="146"/>
      <c r="BR134" s="146"/>
      <c r="BS134" s="146"/>
      <c r="BT134" s="30"/>
      <c r="BU134" s="1"/>
      <c r="BV134" s="1"/>
    </row>
    <row r="135" spans="1:74" ht="15" customHeight="1" x14ac:dyDescent="0.2">
      <c r="A135" s="194"/>
      <c r="B135" s="5" t="s">
        <v>5</v>
      </c>
      <c r="C135" s="28"/>
      <c r="D135" s="20"/>
      <c r="E135" s="20"/>
      <c r="F135" s="20"/>
      <c r="G135" s="20"/>
      <c r="H135" s="22"/>
      <c r="I135" s="20"/>
      <c r="J135" s="18"/>
      <c r="K135" s="185"/>
      <c r="L135" s="191"/>
      <c r="M135" s="28"/>
      <c r="N135" s="20"/>
      <c r="O135" s="20"/>
      <c r="P135" s="20"/>
      <c r="Q135" s="20"/>
      <c r="R135" s="22"/>
      <c r="S135" s="20"/>
      <c r="T135" s="18"/>
      <c r="U135" s="185"/>
      <c r="V135" s="191"/>
      <c r="W135" s="28"/>
      <c r="X135" s="20"/>
      <c r="Y135" s="20"/>
      <c r="Z135" s="20"/>
      <c r="AA135" s="20"/>
      <c r="AB135" s="22"/>
      <c r="AC135" s="20"/>
      <c r="AD135" s="18"/>
      <c r="AE135" s="185"/>
      <c r="AF135" s="191"/>
      <c r="AG135" s="29"/>
      <c r="AH135" s="146"/>
      <c r="AI135" s="146"/>
      <c r="AJ135" s="146"/>
      <c r="AK135" s="146"/>
      <c r="AL135" s="146"/>
      <c r="AM135" s="146"/>
      <c r="AN135" s="146"/>
      <c r="AO135" s="146"/>
      <c r="AP135" s="30"/>
      <c r="AQ135" s="29"/>
      <c r="AR135" s="146"/>
      <c r="AS135" s="146"/>
      <c r="AT135" s="146"/>
      <c r="AU135" s="146"/>
      <c r="AV135" s="146"/>
      <c r="AW135" s="146"/>
      <c r="AX135" s="146"/>
      <c r="AY135" s="146"/>
      <c r="AZ135" s="30"/>
      <c r="BA135" s="29"/>
      <c r="BB135" s="146"/>
      <c r="BC135" s="146"/>
      <c r="BD135" s="146"/>
      <c r="BE135" s="146"/>
      <c r="BF135" s="146"/>
      <c r="BG135" s="146"/>
      <c r="BH135" s="146"/>
      <c r="BI135" s="146"/>
      <c r="BJ135" s="30"/>
      <c r="BK135" s="29"/>
      <c r="BL135" s="146"/>
      <c r="BM135" s="146"/>
      <c r="BN135" s="146"/>
      <c r="BO135" s="146"/>
      <c r="BP135" s="146"/>
      <c r="BQ135" s="146"/>
      <c r="BR135" s="146"/>
      <c r="BS135" s="146"/>
      <c r="BT135" s="30"/>
      <c r="BU135" s="1"/>
      <c r="BV135" s="1"/>
    </row>
    <row r="136" spans="1:74" ht="15" customHeight="1" x14ac:dyDescent="0.2">
      <c r="A136" s="194"/>
      <c r="B136" s="5" t="s">
        <v>6</v>
      </c>
      <c r="C136" s="28"/>
      <c r="D136" s="20"/>
      <c r="E136" s="20"/>
      <c r="F136" s="20"/>
      <c r="G136" s="20"/>
      <c r="H136" s="22"/>
      <c r="I136" s="20"/>
      <c r="J136" s="18"/>
      <c r="K136" s="185"/>
      <c r="L136" s="191"/>
      <c r="M136" s="28"/>
      <c r="N136" s="20"/>
      <c r="O136" s="20"/>
      <c r="P136" s="20"/>
      <c r="Q136" s="20"/>
      <c r="R136" s="22"/>
      <c r="S136" s="20"/>
      <c r="T136" s="18"/>
      <c r="U136" s="185"/>
      <c r="V136" s="191"/>
      <c r="W136" s="28"/>
      <c r="X136" s="20"/>
      <c r="Y136" s="20"/>
      <c r="Z136" s="20"/>
      <c r="AA136" s="20"/>
      <c r="AB136" s="22"/>
      <c r="AC136" s="20"/>
      <c r="AD136" s="18"/>
      <c r="AE136" s="185"/>
      <c r="AF136" s="191"/>
      <c r="AG136" s="29"/>
      <c r="AH136" s="146"/>
      <c r="AI136" s="146"/>
      <c r="AJ136" s="146"/>
      <c r="AK136" s="146"/>
      <c r="AL136" s="146"/>
      <c r="AM136" s="146"/>
      <c r="AN136" s="146"/>
      <c r="AO136" s="146"/>
      <c r="AP136" s="30"/>
      <c r="AQ136" s="29"/>
      <c r="AR136" s="146"/>
      <c r="AS136" s="146"/>
      <c r="AT136" s="146"/>
      <c r="AU136" s="146"/>
      <c r="AV136" s="146"/>
      <c r="AW136" s="146"/>
      <c r="AX136" s="146"/>
      <c r="AY136" s="146"/>
      <c r="AZ136" s="30"/>
      <c r="BA136" s="29"/>
      <c r="BB136" s="146"/>
      <c r="BC136" s="146"/>
      <c r="BD136" s="146"/>
      <c r="BE136" s="146"/>
      <c r="BF136" s="146"/>
      <c r="BG136" s="146"/>
      <c r="BH136" s="146"/>
      <c r="BI136" s="146"/>
      <c r="BJ136" s="30"/>
      <c r="BK136" s="29"/>
      <c r="BL136" s="146"/>
      <c r="BM136" s="146"/>
      <c r="BN136" s="146"/>
      <c r="BO136" s="146"/>
      <c r="BP136" s="146"/>
      <c r="BQ136" s="146"/>
      <c r="BR136" s="146"/>
      <c r="BS136" s="146"/>
      <c r="BT136" s="30"/>
      <c r="BU136" s="1"/>
      <c r="BV136" s="1"/>
    </row>
    <row r="137" spans="1:74" ht="15" customHeight="1" x14ac:dyDescent="0.2">
      <c r="A137" s="194"/>
      <c r="B137" s="5" t="s">
        <v>7</v>
      </c>
      <c r="C137" s="28"/>
      <c r="D137" s="20"/>
      <c r="E137" s="20"/>
      <c r="F137" s="20"/>
      <c r="G137" s="20"/>
      <c r="H137" s="22"/>
      <c r="I137" s="20"/>
      <c r="J137" s="18"/>
      <c r="K137" s="185"/>
      <c r="L137" s="191"/>
      <c r="M137" s="28"/>
      <c r="N137" s="20"/>
      <c r="O137" s="20"/>
      <c r="P137" s="20"/>
      <c r="Q137" s="20"/>
      <c r="R137" s="22"/>
      <c r="S137" s="20"/>
      <c r="T137" s="18"/>
      <c r="U137" s="185"/>
      <c r="V137" s="191"/>
      <c r="W137" s="28"/>
      <c r="X137" s="20"/>
      <c r="Y137" s="20"/>
      <c r="Z137" s="20"/>
      <c r="AA137" s="20"/>
      <c r="AB137" s="22"/>
      <c r="AC137" s="20"/>
      <c r="AD137" s="18"/>
      <c r="AE137" s="185"/>
      <c r="AF137" s="191"/>
      <c r="AG137" s="29"/>
      <c r="AH137" s="146"/>
      <c r="AI137" s="146"/>
      <c r="AJ137" s="146"/>
      <c r="AK137" s="146"/>
      <c r="AL137" s="146"/>
      <c r="AM137" s="146"/>
      <c r="AN137" s="146"/>
      <c r="AO137" s="146"/>
      <c r="AP137" s="30"/>
      <c r="AQ137" s="29"/>
      <c r="AR137" s="146"/>
      <c r="AS137" s="146"/>
      <c r="AT137" s="146"/>
      <c r="AU137" s="146"/>
      <c r="AV137" s="146"/>
      <c r="AW137" s="146"/>
      <c r="AX137" s="146"/>
      <c r="AY137" s="146"/>
      <c r="AZ137" s="30"/>
      <c r="BA137" s="29"/>
      <c r="BB137" s="146"/>
      <c r="BC137" s="146"/>
      <c r="BD137" s="146"/>
      <c r="BE137" s="146"/>
      <c r="BF137" s="146"/>
      <c r="BG137" s="146"/>
      <c r="BH137" s="146"/>
      <c r="BI137" s="146"/>
      <c r="BJ137" s="30"/>
      <c r="BK137" s="29"/>
      <c r="BL137" s="146"/>
      <c r="BM137" s="146"/>
      <c r="BN137" s="146"/>
      <c r="BO137" s="146"/>
      <c r="BP137" s="146"/>
      <c r="BQ137" s="146"/>
      <c r="BR137" s="146"/>
      <c r="BS137" s="146"/>
      <c r="BT137" s="30"/>
      <c r="BU137" s="1"/>
      <c r="BV137" s="1"/>
    </row>
    <row r="138" spans="1:74" ht="15" customHeight="1" x14ac:dyDescent="0.2">
      <c r="A138" s="194"/>
      <c r="B138" s="5" t="s">
        <v>8</v>
      </c>
      <c r="C138" s="27"/>
      <c r="D138" s="20"/>
      <c r="E138" s="20"/>
      <c r="F138" s="21"/>
      <c r="G138" s="20"/>
      <c r="H138" s="20"/>
      <c r="I138" s="20"/>
      <c r="J138" s="19"/>
      <c r="K138" s="185"/>
      <c r="L138" s="191"/>
      <c r="M138" s="27"/>
      <c r="N138" s="20"/>
      <c r="O138" s="20"/>
      <c r="P138" s="21"/>
      <c r="Q138" s="20"/>
      <c r="R138" s="20"/>
      <c r="S138" s="20"/>
      <c r="T138" s="19"/>
      <c r="U138" s="185"/>
      <c r="V138" s="191"/>
      <c r="W138" s="27"/>
      <c r="X138" s="20"/>
      <c r="Y138" s="20"/>
      <c r="Z138" s="21"/>
      <c r="AA138" s="20"/>
      <c r="AB138" s="20"/>
      <c r="AC138" s="20"/>
      <c r="AD138" s="19"/>
      <c r="AE138" s="185"/>
      <c r="AF138" s="191"/>
      <c r="AG138" s="29"/>
      <c r="AH138" s="146"/>
      <c r="AI138" s="146"/>
      <c r="AJ138" s="146"/>
      <c r="AK138" s="146"/>
      <c r="AL138" s="146"/>
      <c r="AM138" s="146"/>
      <c r="AN138" s="146"/>
      <c r="AO138" s="146"/>
      <c r="AP138" s="30"/>
      <c r="AQ138" s="29"/>
      <c r="AR138" s="146"/>
      <c r="AS138" s="146"/>
      <c r="AT138" s="146"/>
      <c r="AU138" s="146"/>
      <c r="AV138" s="146"/>
      <c r="AW138" s="146"/>
      <c r="AX138" s="146"/>
      <c r="AY138" s="146"/>
      <c r="AZ138" s="30"/>
      <c r="BA138" s="29"/>
      <c r="BB138" s="146"/>
      <c r="BC138" s="146"/>
      <c r="BD138" s="146"/>
      <c r="BE138" s="146"/>
      <c r="BF138" s="146"/>
      <c r="BG138" s="146"/>
      <c r="BH138" s="146"/>
      <c r="BI138" s="146"/>
      <c r="BJ138" s="30"/>
      <c r="BK138" s="29"/>
      <c r="BL138" s="146"/>
      <c r="BM138" s="146"/>
      <c r="BN138" s="146"/>
      <c r="BO138" s="146"/>
      <c r="BP138" s="146"/>
      <c r="BQ138" s="146"/>
      <c r="BR138" s="146"/>
      <c r="BS138" s="146"/>
      <c r="BT138" s="30"/>
      <c r="BU138" s="1"/>
      <c r="BV138" s="1"/>
    </row>
    <row r="139" spans="1:74" ht="15" customHeight="1" x14ac:dyDescent="0.2">
      <c r="A139" s="194"/>
      <c r="B139" s="5" t="s">
        <v>9</v>
      </c>
      <c r="C139" s="28"/>
      <c r="D139" s="20"/>
      <c r="E139" s="20"/>
      <c r="F139" s="20"/>
      <c r="G139" s="20"/>
      <c r="H139" s="20"/>
      <c r="I139" s="20"/>
      <c r="J139" s="18"/>
      <c r="K139" s="185"/>
      <c r="L139" s="191"/>
      <c r="M139" s="20"/>
      <c r="N139" s="20"/>
      <c r="O139" s="20"/>
      <c r="P139" s="20"/>
      <c r="Q139" s="20"/>
      <c r="R139" s="20"/>
      <c r="S139" s="20"/>
      <c r="T139" s="18"/>
      <c r="U139" s="185"/>
      <c r="V139" s="191"/>
      <c r="W139" s="20"/>
      <c r="X139" s="20"/>
      <c r="Y139" s="20"/>
      <c r="Z139" s="20"/>
      <c r="AA139" s="20"/>
      <c r="AB139" s="20"/>
      <c r="AC139" s="20"/>
      <c r="AD139" s="18"/>
      <c r="AE139" s="185"/>
      <c r="AF139" s="191"/>
      <c r="AG139" s="29"/>
      <c r="AH139" s="146"/>
      <c r="AI139" s="146"/>
      <c r="AJ139" s="146"/>
      <c r="AK139" s="146"/>
      <c r="AL139" s="146"/>
      <c r="AM139" s="146"/>
      <c r="AN139" s="146"/>
      <c r="AO139" s="146"/>
      <c r="AP139" s="30"/>
      <c r="AQ139" s="29"/>
      <c r="AR139" s="146"/>
      <c r="AS139" s="146"/>
      <c r="AT139" s="146"/>
      <c r="AU139" s="146"/>
      <c r="AV139" s="146"/>
      <c r="AW139" s="146"/>
      <c r="AX139" s="146"/>
      <c r="AY139" s="146"/>
      <c r="AZ139" s="30"/>
      <c r="BA139" s="29"/>
      <c r="BB139" s="146"/>
      <c r="BC139" s="146"/>
      <c r="BD139" s="146"/>
      <c r="BE139" s="146"/>
      <c r="BF139" s="146"/>
      <c r="BG139" s="146"/>
      <c r="BH139" s="146"/>
      <c r="BI139" s="146"/>
      <c r="BJ139" s="30"/>
      <c r="BK139" s="29"/>
      <c r="BL139" s="146"/>
      <c r="BM139" s="146"/>
      <c r="BN139" s="146"/>
      <c r="BO139" s="146"/>
      <c r="BP139" s="146"/>
      <c r="BQ139" s="146"/>
      <c r="BR139" s="146"/>
      <c r="BS139" s="146"/>
      <c r="BT139" s="30"/>
      <c r="BU139" s="1"/>
      <c r="BV139" s="1"/>
    </row>
    <row r="140" spans="1:74" ht="15" customHeight="1" x14ac:dyDescent="0.2">
      <c r="A140" s="194"/>
      <c r="B140" s="4" t="s">
        <v>10</v>
      </c>
      <c r="C140" s="181">
        <f>IF(Configuração!AF10=EscalaLinear!BY5,10,IF(Configuração!AF10=BY6,9,IF(Configuração!AF10=BY7,8,IF(Configuração!AF10=BY8,7,IF(Configuração!AF10=BY9,6,IF(Configuração!AF10=BY10,5,IF(Configuração!AF10=BY11,4,IF(Configuração!AF10=BY12,3,IF(Configuração!AF10=BY13,2,IF(Configuração!AF10=BY14,1,""))))))))))</f>
        <v>1</v>
      </c>
      <c r="D140" s="184" t="str">
        <f>IF(Configuração!AF11=EscalaLinear!BY5,10,IF(Configuração!AF11=BY6,9,IF(Configuração!AF11=BY7,8,IF(Configuração!AF11=BY8,7,IF(Configuração!AF11=BY9,6,IF(Configuração!AF11=BY10,5,IF(Configuração!AF11=BY11,4,IF(Configuração!AF11=BY12,3,IF(Configuração!AF11=BY13,2,IF(Configuração!AF11=BY14,1,""))))))))))</f>
        <v/>
      </c>
      <c r="E140" s="20"/>
      <c r="F140" s="20"/>
      <c r="G140" s="20"/>
      <c r="H140" s="20"/>
      <c r="I140" s="20"/>
      <c r="J140" s="18"/>
      <c r="K140" s="185"/>
      <c r="L140" s="191"/>
      <c r="M140" s="181">
        <f>IF(Configuração!AG10=EscalaLinear!BY5,10,IF(Configuração!AG10=BY6,9,IF(Configuração!AG10=BY7,8,IF(Configuração!AG10=BY8,7,IF(Configuração!AG10=BY9,6,IF(Configuração!AG10=BY10,5,IF(Configuração!AG10=BY11,4,IF(Configuração!AG10=BY12,3,IF(Configuração!AG10=BY13,2,IF(Configuração!AG10=BY14,1,""))))))))))</f>
        <v>1</v>
      </c>
      <c r="N140" s="184" t="str">
        <f>IF(Configuração!AG11=EscalaLinear!BY5,10,IF(Configuração!AG11=BY6,9,IF(Configuração!AG11=BY7,8,IF(Configuração!AG11=BY8,7,IF(Configuração!AG11=BY9,6,IF(Configuração!AG11=BY10,5,IF(Configuração!AG11=BY11,4,IF(Configuração!AG11=BY12,3,IF(Configuração!AG11=BY13,2,IF(Configuração!AG11=BY14,1,""))))))))))</f>
        <v/>
      </c>
      <c r="O140" s="20"/>
      <c r="P140" s="20"/>
      <c r="Q140" s="20"/>
      <c r="R140" s="20"/>
      <c r="S140" s="20"/>
      <c r="T140" s="18"/>
      <c r="U140" s="185"/>
      <c r="V140" s="191"/>
      <c r="W140" s="181">
        <f>IF(Configuração!AH10=EscalaLinear!BY5,10,IF(Configuração!AH10=BY6,9,IF(Configuração!AH10=BY7,8,IF(Configuração!AH10=BY8,7,IF(Configuração!AH10=BY9,6,IF(Configuração!AH10=BY10,5,IF(Configuração!AH10=BY11,4,IF(Configuração!AH10=BY12,3,IF(Configuração!AH10=BY13,2,IF(Configuração!AH10=BY14,1,""))))))))))</f>
        <v>1</v>
      </c>
      <c r="X140" s="184" t="str">
        <f>IF(Configuração!AH11=EscalaLinear!BY5,10,IF(Configuração!AH11=BY6,9,IF(Configuração!AH11=BY7,8,IF(Configuração!AH11=BY8,7,IF(Configuração!AH11=BY9,6,IF(Configuração!AH11=BY10,5,IF(Configuração!AH11=BY11,4,IF(Configuração!AH11=BY12,3,IF(Configuração!AH11=BY13,2,IF(Configuração!AH11=BY14,1,""))))))))))</f>
        <v/>
      </c>
      <c r="Y140" s="20"/>
      <c r="Z140" s="20"/>
      <c r="AA140" s="20"/>
      <c r="AB140" s="20"/>
      <c r="AC140" s="20"/>
      <c r="AD140" s="18"/>
      <c r="AE140" s="185"/>
      <c r="AF140" s="191"/>
      <c r="AG140" s="29"/>
      <c r="AH140" s="146"/>
      <c r="AI140" s="146"/>
      <c r="AJ140" s="146"/>
      <c r="AK140" s="146"/>
      <c r="AL140" s="146"/>
      <c r="AM140" s="146"/>
      <c r="AN140" s="146"/>
      <c r="AO140" s="146"/>
      <c r="AP140" s="30"/>
      <c r="AQ140" s="29"/>
      <c r="AR140" s="146"/>
      <c r="AS140" s="146"/>
      <c r="AT140" s="146"/>
      <c r="AU140" s="146"/>
      <c r="AV140" s="146"/>
      <c r="AW140" s="146"/>
      <c r="AX140" s="146"/>
      <c r="AY140" s="146"/>
      <c r="AZ140" s="30"/>
      <c r="BA140" s="29"/>
      <c r="BB140" s="146"/>
      <c r="BC140" s="146"/>
      <c r="BD140" s="146"/>
      <c r="BE140" s="146"/>
      <c r="BF140" s="146"/>
      <c r="BG140" s="146"/>
      <c r="BH140" s="146"/>
      <c r="BI140" s="146"/>
      <c r="BJ140" s="30"/>
      <c r="BK140" s="29"/>
      <c r="BL140" s="146"/>
      <c r="BM140" s="146"/>
      <c r="BN140" s="146"/>
      <c r="BO140" s="146"/>
      <c r="BP140" s="146"/>
      <c r="BQ140" s="146"/>
      <c r="BR140" s="146"/>
      <c r="BS140" s="146"/>
      <c r="BT140" s="30"/>
      <c r="BU140" s="1"/>
      <c r="BV140" s="1"/>
    </row>
    <row r="141" spans="1:74" ht="15" customHeight="1" x14ac:dyDescent="0.2">
      <c r="A141" s="194"/>
      <c r="B141" s="5" t="s">
        <v>76</v>
      </c>
      <c r="C141" s="182"/>
      <c r="D141" s="185"/>
      <c r="E141" s="20"/>
      <c r="F141" s="20"/>
      <c r="G141" s="20"/>
      <c r="H141" s="20"/>
      <c r="I141" s="20"/>
      <c r="J141" s="18"/>
      <c r="K141" s="186"/>
      <c r="L141" s="192"/>
      <c r="M141" s="182"/>
      <c r="N141" s="185"/>
      <c r="O141" s="20"/>
      <c r="P141" s="20"/>
      <c r="Q141" s="20"/>
      <c r="R141" s="20"/>
      <c r="S141" s="20"/>
      <c r="T141" s="18"/>
      <c r="U141" s="186"/>
      <c r="V141" s="192"/>
      <c r="W141" s="182"/>
      <c r="X141" s="185"/>
      <c r="Y141" s="20"/>
      <c r="Z141" s="20"/>
      <c r="AA141" s="20"/>
      <c r="AB141" s="20"/>
      <c r="AC141" s="20"/>
      <c r="AD141" s="18"/>
      <c r="AE141" s="186"/>
      <c r="AF141" s="192"/>
      <c r="AG141" s="29"/>
      <c r="AH141" s="146"/>
      <c r="AI141" s="146"/>
      <c r="AJ141" s="146"/>
      <c r="AK141" s="146"/>
      <c r="AL141" s="146"/>
      <c r="AM141" s="146"/>
      <c r="AN141" s="146"/>
      <c r="AO141" s="146"/>
      <c r="AP141" s="30"/>
      <c r="AQ141" s="29"/>
      <c r="AR141" s="146"/>
      <c r="AS141" s="146"/>
      <c r="AT141" s="146"/>
      <c r="AU141" s="146"/>
      <c r="AV141" s="146"/>
      <c r="AW141" s="146"/>
      <c r="AX141" s="146"/>
      <c r="AY141" s="146"/>
      <c r="AZ141" s="30"/>
      <c r="BA141" s="29"/>
      <c r="BB141" s="146"/>
      <c r="BC141" s="146"/>
      <c r="BD141" s="146"/>
      <c r="BE141" s="146"/>
      <c r="BF141" s="146"/>
      <c r="BG141" s="146"/>
      <c r="BH141" s="146"/>
      <c r="BI141" s="146"/>
      <c r="BJ141" s="30"/>
      <c r="BK141" s="29"/>
      <c r="BL141" s="146"/>
      <c r="BM141" s="146"/>
      <c r="BN141" s="146"/>
      <c r="BO141" s="146"/>
      <c r="BP141" s="146"/>
      <c r="BQ141" s="146"/>
      <c r="BR141" s="146"/>
      <c r="BS141" s="146"/>
      <c r="BT141" s="30"/>
      <c r="BU141" s="1"/>
      <c r="BV141" s="1"/>
    </row>
    <row r="142" spans="1:74" ht="15" customHeight="1" x14ac:dyDescent="0.2">
      <c r="A142" s="194"/>
      <c r="B142" s="5" t="s">
        <v>11</v>
      </c>
      <c r="C142" s="182"/>
      <c r="D142" s="185"/>
      <c r="E142" s="151"/>
      <c r="G142" s="20"/>
      <c r="H142" s="20"/>
      <c r="I142" s="20"/>
      <c r="J142" s="18"/>
      <c r="K142" s="20"/>
      <c r="L142" s="25"/>
      <c r="M142" s="182"/>
      <c r="N142" s="185"/>
      <c r="O142" s="20"/>
      <c r="Q142" s="20"/>
      <c r="R142" s="20"/>
      <c r="S142" s="20"/>
      <c r="T142" s="18"/>
      <c r="U142" s="20"/>
      <c r="V142" s="25"/>
      <c r="W142" s="182"/>
      <c r="X142" s="185"/>
      <c r="Y142" s="20"/>
      <c r="AA142" s="20"/>
      <c r="AB142" s="20"/>
      <c r="AC142" s="20"/>
      <c r="AD142" s="18"/>
      <c r="AE142" s="20"/>
      <c r="AF142" s="25"/>
      <c r="AG142" s="29"/>
      <c r="AH142" s="146"/>
      <c r="AI142" s="146"/>
      <c r="AJ142" s="146"/>
      <c r="AK142" s="146"/>
      <c r="AL142" s="146"/>
      <c r="AM142" s="146"/>
      <c r="AN142" s="146"/>
      <c r="AO142" s="146"/>
      <c r="AP142" s="30"/>
      <c r="AQ142" s="29"/>
      <c r="AR142" s="146"/>
      <c r="AS142" s="146"/>
      <c r="AT142" s="146"/>
      <c r="AU142" s="146"/>
      <c r="AV142" s="146"/>
      <c r="AW142" s="146"/>
      <c r="AX142" s="146"/>
      <c r="AY142" s="146"/>
      <c r="AZ142" s="30"/>
      <c r="BA142" s="29"/>
      <c r="BB142" s="146"/>
      <c r="BC142" s="146"/>
      <c r="BD142" s="146"/>
      <c r="BE142" s="146"/>
      <c r="BF142" s="146"/>
      <c r="BG142" s="146"/>
      <c r="BH142" s="146"/>
      <c r="BI142" s="146"/>
      <c r="BJ142" s="30"/>
      <c r="BK142" s="29"/>
      <c r="BL142" s="146"/>
      <c r="BM142" s="146"/>
      <c r="BN142" s="146"/>
      <c r="BO142" s="146"/>
      <c r="BP142" s="146"/>
      <c r="BQ142" s="146"/>
      <c r="BR142" s="146"/>
      <c r="BS142" s="146"/>
      <c r="BT142" s="30"/>
      <c r="BU142" s="1"/>
      <c r="BV142" s="1"/>
    </row>
    <row r="143" spans="1:74" ht="15" customHeight="1" x14ac:dyDescent="0.2">
      <c r="A143" s="194"/>
      <c r="B143" s="4" t="s">
        <v>12</v>
      </c>
      <c r="C143" s="182"/>
      <c r="D143" s="185"/>
      <c r="E143" s="184" t="str">
        <f>IF(Configuração!AF12=EscalaLinear!BY5,10,IF(Configuração!AF12=BY6,9,IF(Configuração!AF12=BY7,8,IF(Configuração!AF12=BY8,7,IF(Configuração!AF12=BY9,6,IF(Configuração!AF12=BY10,5,IF(Configuração!AF12=BY11,4,IF(Configuração!AF12=BY12,3,IF(Configuração!AF12=BY13,2,IF(Configuração!AF12=BY14,1,""))))))))))</f>
        <v/>
      </c>
      <c r="F143" s="184" t="str">
        <f>IF(Configuração!AF13=EscalaLinear!BY5,10,IF(Configuração!AF13=BY6,9,IF(Configuração!AF13=BY7,8,IF(Configuração!AF13=BY8,7,IF(Configuração!AF13=BY9,6,IF(Configuração!AF13=BY10,5,IF(Configuração!AF13=BY11,4,IF(Configuração!AF13=BY12,3,IF(Configuração!AF13=BY13,2,IF(Configuração!AF13=BY14,1,""))))))))))</f>
        <v/>
      </c>
      <c r="G143" s="22"/>
      <c r="H143" s="22"/>
      <c r="I143" s="20"/>
      <c r="J143" s="18"/>
      <c r="K143" s="20"/>
      <c r="L143" s="25"/>
      <c r="M143" s="182"/>
      <c r="N143" s="185"/>
      <c r="O143" s="184" t="str">
        <f>IF(Configuração!AG12=EscalaLinear!BY5,10,IF(Configuração!AG12=BY6,9,IF(Configuração!AG12=BY7,8,IF(Configuração!AG12=BY8,7,IF(Configuração!AG12=BY9,6,IF(Configuração!AG12=BY10,5,IF(Configuração!AG12=BY11,4,IF(Configuração!AG12=BY12,3,IF(Configuração!AG12=BY13,2,IF(Configuração!AG12=BY14,1,""))))))))))</f>
        <v/>
      </c>
      <c r="P143" s="184" t="str">
        <f>IF(Configuração!AG13=EscalaLinear!BY5,10,IF(Configuração!AG13=BY6,9,IF(Configuração!AG13=BY7,8,IF(Configuração!AG13=BY8,7,IF(Configuração!AG13=BY9,6,IF(Configuração!AG13=BY10,5,IF(Configuração!AG13=BY11,4,IF(Configuração!AG13=BY12,3,IF(Configuração!AG13=BY13,2,IF(Configuração!AG13=BY14,1,""))))))))))</f>
        <v/>
      </c>
      <c r="Q143" s="22"/>
      <c r="R143" s="22"/>
      <c r="S143" s="20"/>
      <c r="T143" s="18"/>
      <c r="U143" s="20"/>
      <c r="V143" s="25"/>
      <c r="W143" s="182"/>
      <c r="X143" s="185"/>
      <c r="Y143" s="184" t="str">
        <f>IF(Configuração!AH12=EscalaLinear!BY5,10,IF(Configuração!AH12=BY6,9,IF(Configuração!AH12=BY7,8,IF(Configuração!AH12=BY8,7,IF(Configuração!AH12=BY9,6,IF(Configuração!AH12=BY10,5,IF(Configuração!AH12=BY11,4,IF(Configuração!AH12=BY12,3,IF(Configuração!AH12=BY13,2,IF(Configuração!AH12=BY14,1,""))))))))))</f>
        <v/>
      </c>
      <c r="Z143" s="184" t="str">
        <f>IF(Configuração!AH13=EscalaLinear!BY5,10,IF(Configuração!AH13=BY6,9,IF(Configuração!AH13=BY7,8,IF(Configuração!AH13=BY8,7,IF(Configuração!AH13=BY9,6,IF(Configuração!AH13=BY10,5,IF(Configuração!AH13=BY11,4,IF(Configuração!AH13=BY12,3,IF(Configuração!AH13=BY13,2,IF(Configuração!AH13=BY14,1,""))))))))))</f>
        <v/>
      </c>
      <c r="AA143" s="22"/>
      <c r="AB143" s="22"/>
      <c r="AC143" s="20"/>
      <c r="AD143" s="18"/>
      <c r="AE143" s="20"/>
      <c r="AF143" s="25"/>
      <c r="AG143" s="29"/>
      <c r="AH143" s="146"/>
      <c r="AI143" s="146"/>
      <c r="AJ143" s="146"/>
      <c r="AK143" s="146"/>
      <c r="AL143" s="146"/>
      <c r="AM143" s="146"/>
      <c r="AN143" s="146"/>
      <c r="AO143" s="146"/>
      <c r="AP143" s="30"/>
      <c r="AQ143" s="29"/>
      <c r="AR143" s="146"/>
      <c r="AS143" s="146"/>
      <c r="AT143" s="146"/>
      <c r="AU143" s="146"/>
      <c r="AV143" s="146"/>
      <c r="AW143" s="146"/>
      <c r="AX143" s="146"/>
      <c r="AY143" s="146"/>
      <c r="AZ143" s="30"/>
      <c r="BA143" s="29"/>
      <c r="BB143" s="146"/>
      <c r="BC143" s="146"/>
      <c r="BD143" s="146"/>
      <c r="BE143" s="146"/>
      <c r="BF143" s="146"/>
      <c r="BG143" s="146"/>
      <c r="BH143" s="146"/>
      <c r="BI143" s="146"/>
      <c r="BJ143" s="30"/>
      <c r="BK143" s="29"/>
      <c r="BL143" s="146"/>
      <c r="BM143" s="146"/>
      <c r="BN143" s="146"/>
      <c r="BO143" s="146"/>
      <c r="BP143" s="146"/>
      <c r="BQ143" s="146"/>
      <c r="BR143" s="146"/>
      <c r="BS143" s="146"/>
      <c r="BT143" s="30"/>
      <c r="BU143" s="1"/>
      <c r="BV143" s="1"/>
    </row>
    <row r="144" spans="1:74" ht="15" customHeight="1" x14ac:dyDescent="0.2">
      <c r="A144" s="194"/>
      <c r="B144" s="5" t="s">
        <v>13</v>
      </c>
      <c r="C144" s="182"/>
      <c r="D144" s="185"/>
      <c r="E144" s="185"/>
      <c r="F144" s="185"/>
      <c r="G144" s="151"/>
      <c r="I144" s="20"/>
      <c r="J144" s="18"/>
      <c r="K144" s="20"/>
      <c r="L144" s="25"/>
      <c r="M144" s="182"/>
      <c r="N144" s="185"/>
      <c r="O144" s="185"/>
      <c r="P144" s="185"/>
      <c r="Q144" s="151"/>
      <c r="S144" s="20"/>
      <c r="T144" s="18"/>
      <c r="U144" s="20"/>
      <c r="V144" s="25"/>
      <c r="W144" s="182"/>
      <c r="X144" s="185"/>
      <c r="Y144" s="185"/>
      <c r="Z144" s="185"/>
      <c r="AA144" s="151"/>
      <c r="AC144" s="20"/>
      <c r="AD144" s="18"/>
      <c r="AE144" s="20"/>
      <c r="AF144" s="25"/>
      <c r="AG144" s="29"/>
      <c r="AH144" s="146"/>
      <c r="AI144" s="146"/>
      <c r="AJ144" s="146"/>
      <c r="AK144" s="146"/>
      <c r="AL144" s="146"/>
      <c r="AM144" s="146"/>
      <c r="AN144" s="146"/>
      <c r="AO144" s="146"/>
      <c r="AP144" s="30"/>
      <c r="AQ144" s="29"/>
      <c r="AR144" s="146"/>
      <c r="AS144" s="146"/>
      <c r="AT144" s="146"/>
      <c r="AU144" s="146"/>
      <c r="AV144" s="146"/>
      <c r="AW144" s="146"/>
      <c r="AX144" s="146"/>
      <c r="AY144" s="146"/>
      <c r="AZ144" s="30"/>
      <c r="BA144" s="29"/>
      <c r="BB144" s="146"/>
      <c r="BC144" s="146"/>
      <c r="BD144" s="146"/>
      <c r="BE144" s="146"/>
      <c r="BF144" s="146"/>
      <c r="BG144" s="146"/>
      <c r="BH144" s="146"/>
      <c r="BI144" s="146"/>
      <c r="BJ144" s="30"/>
      <c r="BK144" s="29"/>
      <c r="BL144" s="146"/>
      <c r="BM144" s="146"/>
      <c r="BN144" s="146"/>
      <c r="BO144" s="146"/>
      <c r="BP144" s="146"/>
      <c r="BQ144" s="146"/>
      <c r="BR144" s="146"/>
      <c r="BS144" s="146"/>
      <c r="BT144" s="30"/>
      <c r="BU144" s="1"/>
      <c r="BV144" s="1"/>
    </row>
    <row r="145" spans="1:74" ht="15" customHeight="1" x14ac:dyDescent="0.2">
      <c r="A145" s="194"/>
      <c r="B145" s="4" t="s">
        <v>14</v>
      </c>
      <c r="C145" s="182"/>
      <c r="D145" s="185"/>
      <c r="E145" s="185"/>
      <c r="F145" s="185"/>
      <c r="G145" s="184">
        <f>IF(Configuração!AF14=EscalaLinear!BY5,10,IF(Configuração!AF14=BY6,9,IF(Configuração!AF14=BY7,8,IF(Configuração!AF14=BY8,7,IF(Configuração!AF14=BY9,6,IF(Configuração!AF14=BY10,5,IF(Configuração!AF14=BY11,4,IF(Configuração!AF14=BY12,3,IF(Configuração!AF14=BY13,2,IF(Configuração!AF14=BY14,1,""))))))))))</f>
        <v>9</v>
      </c>
      <c r="H145" s="184" t="str">
        <f>IF(Configuração!AF15=EscalaLinear!BY5,10,IF(Configuração!AF15=BY6,9,IF(Configuração!AF15=BY7,8,IF(Configuração!AF15=BY8,7,IF(Configuração!AF15=BY9,6,IF(Configuração!AF15=BY10,5,IF(Configuração!AF15=BY11,4,IF(Configuração!AF15=BY12,3,IF(Configuração!AF15=BY13,2,IF(Configuração!AF15=BY14,1,""))))))))))</f>
        <v/>
      </c>
      <c r="I145" s="20"/>
      <c r="J145" s="18"/>
      <c r="K145" s="20"/>
      <c r="L145" s="25"/>
      <c r="M145" s="182"/>
      <c r="N145" s="185"/>
      <c r="O145" s="185"/>
      <c r="P145" s="185"/>
      <c r="Q145" s="184">
        <f>IF(Configuração!AG14=EscalaLinear!BY5,10,IF(Configuração!AG14=BY6,9,IF(Configuração!AG14=BY7,8,IF(Configuração!AG14=BY8,7,IF(Configuração!AG14=BY9,6,IF(Configuração!AG14=BY10,5,IF(Configuração!AG14=BY11,4,IF(Configuração!AG14=BY12,3,IF(Configuração!AG14=BY13,2,IF(Configuração!AG14=BY14,1,""))))))))))</f>
        <v>9</v>
      </c>
      <c r="R145" s="184" t="str">
        <f>IF(Configuração!AG15=EscalaLinear!BY5,10,IF(Configuração!AG15=BY6,9,IF(Configuração!AG15=BY7,8,IF(Configuração!AG15=BY8,7,IF(Configuração!AG15=BY9,6,IF(Configuração!AG15=BY10,5,IF(Configuração!AG15=BY11,4,IF(Configuração!AG15=BY12,3,IF(Configuração!AG15=BY13,2,IF(Configuração!AG15=BY14,1,""))))))))))</f>
        <v/>
      </c>
      <c r="S145" s="20"/>
      <c r="T145" s="18"/>
      <c r="U145" s="20"/>
      <c r="V145" s="25"/>
      <c r="W145" s="182"/>
      <c r="X145" s="185"/>
      <c r="Y145" s="185"/>
      <c r="Z145" s="185"/>
      <c r="AA145" s="184">
        <f>IF(Configuração!AH14=EscalaLinear!BY5,10,IF(Configuração!AH14=BY6,9,IF(Configuração!AH14=BY7,8,IF(Configuração!AH14=BY8,7,IF(Configuração!AH14=BY9,6,IF(Configuração!AH14=BY10,5,IF(Configuração!AH14=BY11,4,IF(Configuração!AH14=BY12,3,IF(Configuração!AH14=BY13,2,IF(Configuração!AH14=BY14,1,""))))))))))</f>
        <v>9</v>
      </c>
      <c r="AB145" s="184" t="str">
        <f>IF(Configuração!AH15=EscalaLinear!BY5,10,IF(Configuração!AH15=BY6,9,IF(Configuração!AH15=BY7,8,IF(Configuração!AH15=BY8,7,IF(Configuração!AH15=BY9,6,IF(Configuração!AH15=BY10,5,IF(Configuração!AH15=BY11,4,IF(Configuração!AH15=BY12,3,IF(Configuração!AH15=BY13,2,IF(Configuração!AH15=BY14,1,""))))))))))</f>
        <v/>
      </c>
      <c r="AC145" s="20"/>
      <c r="AD145" s="18"/>
      <c r="AE145" s="20"/>
      <c r="AF145" s="25"/>
      <c r="AG145" s="29"/>
      <c r="AH145" s="146"/>
      <c r="AI145" s="146"/>
      <c r="AJ145" s="146"/>
      <c r="AK145" s="146"/>
      <c r="AL145" s="146"/>
      <c r="AM145" s="146"/>
      <c r="AN145" s="146"/>
      <c r="AO145" s="146"/>
      <c r="AP145" s="30"/>
      <c r="AQ145" s="29"/>
      <c r="AR145" s="146"/>
      <c r="AS145" s="146"/>
      <c r="AT145" s="146"/>
      <c r="AU145" s="146"/>
      <c r="AV145" s="146"/>
      <c r="AW145" s="146"/>
      <c r="AX145" s="146"/>
      <c r="AY145" s="146"/>
      <c r="AZ145" s="30"/>
      <c r="BA145" s="29"/>
      <c r="BB145" s="146"/>
      <c r="BC145" s="146"/>
      <c r="BD145" s="146"/>
      <c r="BE145" s="146"/>
      <c r="BF145" s="146"/>
      <c r="BG145" s="146"/>
      <c r="BH145" s="146"/>
      <c r="BI145" s="146"/>
      <c r="BJ145" s="30"/>
      <c r="BK145" s="29"/>
      <c r="BL145" s="146"/>
      <c r="BM145" s="146"/>
      <c r="BN145" s="146"/>
      <c r="BO145" s="146"/>
      <c r="BP145" s="146"/>
      <c r="BQ145" s="146"/>
      <c r="BR145" s="146"/>
      <c r="BS145" s="146"/>
      <c r="BT145" s="30"/>
      <c r="BU145" s="1"/>
      <c r="BV145" s="1"/>
    </row>
    <row r="146" spans="1:74" ht="15" customHeight="1" x14ac:dyDescent="0.2">
      <c r="A146" s="194"/>
      <c r="B146" s="5" t="s">
        <v>15</v>
      </c>
      <c r="C146" s="182"/>
      <c r="D146" s="185"/>
      <c r="E146" s="185"/>
      <c r="F146" s="185"/>
      <c r="G146" s="185"/>
      <c r="H146" s="185"/>
      <c r="I146" s="18"/>
      <c r="J146" s="20"/>
      <c r="K146" s="20"/>
      <c r="L146" s="25"/>
      <c r="M146" s="182"/>
      <c r="N146" s="185"/>
      <c r="O146" s="185"/>
      <c r="P146" s="185"/>
      <c r="Q146" s="185"/>
      <c r="R146" s="185"/>
      <c r="S146" s="18"/>
      <c r="T146" s="18"/>
      <c r="U146" s="20"/>
      <c r="V146" s="25"/>
      <c r="W146" s="182"/>
      <c r="X146" s="185"/>
      <c r="Y146" s="185"/>
      <c r="Z146" s="185"/>
      <c r="AA146" s="185"/>
      <c r="AB146" s="185"/>
      <c r="AC146" s="18"/>
      <c r="AD146" s="18"/>
      <c r="AE146" s="20"/>
      <c r="AF146" s="25"/>
      <c r="AG146" s="29"/>
      <c r="AH146" s="146"/>
      <c r="AI146" s="146"/>
      <c r="AJ146" s="146"/>
      <c r="AK146" s="146"/>
      <c r="AL146" s="146"/>
      <c r="AM146" s="146"/>
      <c r="AN146" s="146"/>
      <c r="AO146" s="146"/>
      <c r="AP146" s="30"/>
      <c r="AQ146" s="29"/>
      <c r="AR146" s="146"/>
      <c r="AS146" s="146"/>
      <c r="AT146" s="146"/>
      <c r="AU146" s="146"/>
      <c r="AV146" s="146"/>
      <c r="AW146" s="146"/>
      <c r="AX146" s="146"/>
      <c r="AY146" s="146"/>
      <c r="AZ146" s="30"/>
      <c r="BA146" s="29"/>
      <c r="BB146" s="146"/>
      <c r="BC146" s="146"/>
      <c r="BD146" s="146"/>
      <c r="BE146" s="146"/>
      <c r="BF146" s="146"/>
      <c r="BG146" s="146"/>
      <c r="BH146" s="146"/>
      <c r="BI146" s="146"/>
      <c r="BJ146" s="30"/>
      <c r="BK146" s="29"/>
      <c r="BL146" s="146"/>
      <c r="BM146" s="146"/>
      <c r="BN146" s="146"/>
      <c r="BO146" s="146"/>
      <c r="BP146" s="146"/>
      <c r="BQ146" s="146"/>
      <c r="BR146" s="146"/>
      <c r="BS146" s="146"/>
      <c r="BT146" s="30"/>
      <c r="BU146" s="1"/>
      <c r="BV146" s="1"/>
    </row>
    <row r="147" spans="1:74" ht="15" customHeight="1" x14ac:dyDescent="0.2">
      <c r="A147" s="194"/>
      <c r="B147" s="5" t="s">
        <v>16</v>
      </c>
      <c r="C147" s="182"/>
      <c r="D147" s="185"/>
      <c r="E147" s="185"/>
      <c r="F147" s="185"/>
      <c r="G147" s="185"/>
      <c r="H147" s="185"/>
      <c r="I147" s="151"/>
      <c r="J147" s="151"/>
      <c r="K147" s="20"/>
      <c r="L147" s="25"/>
      <c r="M147" s="182"/>
      <c r="N147" s="185"/>
      <c r="O147" s="185"/>
      <c r="P147" s="185"/>
      <c r="Q147" s="185"/>
      <c r="R147" s="185"/>
      <c r="S147" s="151"/>
      <c r="T147" s="151"/>
      <c r="U147" s="20"/>
      <c r="V147" s="25"/>
      <c r="W147" s="182"/>
      <c r="X147" s="185"/>
      <c r="Y147" s="185"/>
      <c r="Z147" s="185"/>
      <c r="AA147" s="185"/>
      <c r="AB147" s="185"/>
      <c r="AC147" s="151"/>
      <c r="AD147" s="151"/>
      <c r="AE147" s="20"/>
      <c r="AF147" s="25"/>
      <c r="AG147" s="29"/>
      <c r="AH147" s="146"/>
      <c r="AI147" s="146"/>
      <c r="AJ147" s="146"/>
      <c r="AK147" s="146"/>
      <c r="AL147" s="146"/>
      <c r="AM147" s="146"/>
      <c r="AN147" s="146"/>
      <c r="AO147" s="146"/>
      <c r="AP147" s="30"/>
      <c r="AQ147" s="29"/>
      <c r="AR147" s="146"/>
      <c r="AS147" s="146"/>
      <c r="AT147" s="146"/>
      <c r="AU147" s="146"/>
      <c r="AV147" s="146"/>
      <c r="AW147" s="146"/>
      <c r="AX147" s="146"/>
      <c r="AY147" s="146"/>
      <c r="AZ147" s="30"/>
      <c r="BA147" s="29"/>
      <c r="BB147" s="146"/>
      <c r="BC147" s="146"/>
      <c r="BD147" s="146"/>
      <c r="BE147" s="146"/>
      <c r="BF147" s="146"/>
      <c r="BG147" s="146"/>
      <c r="BH147" s="146"/>
      <c r="BI147" s="146"/>
      <c r="BJ147" s="30"/>
      <c r="BK147" s="29"/>
      <c r="BL147" s="146"/>
      <c r="BM147" s="146"/>
      <c r="BN147" s="146"/>
      <c r="BO147" s="146"/>
      <c r="BP147" s="146"/>
      <c r="BQ147" s="146"/>
      <c r="BR147" s="146"/>
      <c r="BS147" s="146"/>
      <c r="BT147" s="30"/>
      <c r="BU147" s="1"/>
      <c r="BV147" s="1"/>
    </row>
    <row r="148" spans="1:74" ht="15" customHeight="1" x14ac:dyDescent="0.2">
      <c r="A148" s="194"/>
      <c r="B148" s="6" t="s">
        <v>17</v>
      </c>
      <c r="C148" s="182"/>
      <c r="D148" s="185"/>
      <c r="E148" s="185"/>
      <c r="F148" s="185"/>
      <c r="G148" s="185"/>
      <c r="H148" s="185"/>
      <c r="I148" s="187" t="str">
        <f>IF(Configuração!AF16=EscalaLinear!BY5,10,IF(Configuração!AF16=BY6,9,IF(Configuração!AF16=BY7,8,IF(Configuração!AF16=BY8,7,IF(Configuração!AF16=BY9,6,IF(Configuração!AF16=BY10,5,IF(Configuração!AF16=BY11,4,IF(Configuração!AF16=BY12,3,IF(Configuração!AF16=BY13,2,IF(Configuração!AF16=BY14,1,""))))))))))</f>
        <v/>
      </c>
      <c r="J148" s="187" t="str">
        <f>IF(Configuração!AF17=EscalaLinear!BY5,10,IF(Configuração!AF17=BY6,9,IF(Configuração!AF17=BY7,8,IF(Configuração!AF17=BY8,7,IF(Configuração!AF17=BY9,6,IF(Configuração!AF17=BY10,5,IF(Configuração!AF17=BY11,4,IF(Configuração!AF17=BY12,3,IF(Configuração!AF17=BY13,2,IF(Configuração!AF17=BY14,1,""))))))))))</f>
        <v/>
      </c>
      <c r="K148" s="20"/>
      <c r="L148" s="25"/>
      <c r="M148" s="182"/>
      <c r="N148" s="185"/>
      <c r="O148" s="185"/>
      <c r="P148" s="185"/>
      <c r="Q148" s="185"/>
      <c r="R148" s="185"/>
      <c r="S148" s="187" t="str">
        <f>IF(Configuração!AG16=EscalaLinear!BY5,10,IF(Configuração!AG16=BY6,9,IF(Configuração!AG16=BY7,8,IF(Configuração!AG16=BY8,7,IF(Configuração!AG16=BY9,6,IF(Configuração!AG16=BY10,5,IF(Configuração!AG16=BY11,4,IF(Configuração!AG16=BY12,3,IF(Configuração!AG16=BY13,2,IF(Configuração!AG16=BY14,1,""))))))))))</f>
        <v/>
      </c>
      <c r="T148" s="187" t="str">
        <f>IF(Configuração!AG17=EscalaLinear!BY5,10,IF(Configuração!AG17=BY6,9,IF(Configuração!AG17=BY7,8,IF(Configuração!AG17=BY8,7,IF(Configuração!AG17=BY9,6,IF(Configuração!AG17=BY10,5,IF(Configuração!AG17=BY11,4,IF(Configuração!AG17=BY12,3,IF(Configuração!AG17=BY13,2,IF(Configuração!AG17=BY14,1,""))))))))))</f>
        <v/>
      </c>
      <c r="U148" s="20"/>
      <c r="V148" s="25"/>
      <c r="W148" s="182"/>
      <c r="X148" s="185"/>
      <c r="Y148" s="185"/>
      <c r="Z148" s="185"/>
      <c r="AA148" s="185"/>
      <c r="AB148" s="185"/>
      <c r="AC148" s="187" t="str">
        <f>IF(Configuração!AH16=EscalaLinear!BY5,10,IF(Configuração!AH16=BY6,9,IF(Configuração!AH16=BY7,8,IF(Configuração!AH16=BY8,7,IF(Configuração!AH16=BY9,6,IF(Configuração!AH16=BY10,5,IF(Configuração!AH16=BY11,4,IF(Configuração!AH16=BY12,3,IF(Configuração!AH16=BY13,2,IF(Configuração!AH16=BY14,1,""))))))))))</f>
        <v/>
      </c>
      <c r="AD148" s="187" t="str">
        <f>IF(Configuração!AH17=EscalaLinear!BY5,10,IF(Configuração!AH17=BY6,9,IF(Configuração!AH17=BY7,8,IF(Configuração!AH17=BY8,7,IF(Configuração!AH17=BY9,6,IF(Configuração!AH17=BY10,5,IF(Configuração!AH17=BY11,4,IF(Configuração!AH17=BY12,3,IF(Configuração!AH17=BY13,2,IF(Configuração!AH17=BY14,1,""))))))))))</f>
        <v/>
      </c>
      <c r="AE148" s="20"/>
      <c r="AF148" s="25"/>
      <c r="AG148" s="29"/>
      <c r="AH148" s="146"/>
      <c r="AI148" s="146"/>
      <c r="AJ148" s="146"/>
      <c r="AK148" s="146"/>
      <c r="AL148" s="146"/>
      <c r="AM148" s="146"/>
      <c r="AN148" s="146"/>
      <c r="AO148" s="146"/>
      <c r="AP148" s="30"/>
      <c r="AQ148" s="29"/>
      <c r="AR148" s="146"/>
      <c r="AS148" s="146"/>
      <c r="AT148" s="146"/>
      <c r="AU148" s="146"/>
      <c r="AV148" s="146"/>
      <c r="AW148" s="146"/>
      <c r="AX148" s="146"/>
      <c r="AY148" s="146"/>
      <c r="AZ148" s="30"/>
      <c r="BA148" s="29"/>
      <c r="BB148" s="146"/>
      <c r="BC148" s="146"/>
      <c r="BD148" s="146"/>
      <c r="BE148" s="146"/>
      <c r="BF148" s="146"/>
      <c r="BG148" s="146"/>
      <c r="BH148" s="146"/>
      <c r="BI148" s="146"/>
      <c r="BJ148" s="30"/>
      <c r="BK148" s="29"/>
      <c r="BL148" s="146"/>
      <c r="BM148" s="146"/>
      <c r="BN148" s="146"/>
      <c r="BO148" s="146"/>
      <c r="BP148" s="146"/>
      <c r="BQ148" s="146"/>
      <c r="BR148" s="146"/>
      <c r="BS148" s="146"/>
      <c r="BT148" s="30"/>
      <c r="BU148" s="1"/>
      <c r="BV148" s="1"/>
    </row>
    <row r="149" spans="1:74" ht="15" customHeight="1" x14ac:dyDescent="0.2">
      <c r="A149" s="194"/>
      <c r="B149" s="5" t="s">
        <v>18</v>
      </c>
      <c r="C149" s="182"/>
      <c r="D149" s="185"/>
      <c r="E149" s="185"/>
      <c r="F149" s="185"/>
      <c r="G149" s="185"/>
      <c r="H149" s="185"/>
      <c r="I149" s="188"/>
      <c r="J149" s="188"/>
      <c r="K149" s="20"/>
      <c r="L149" s="25"/>
      <c r="M149" s="182"/>
      <c r="N149" s="185"/>
      <c r="O149" s="185"/>
      <c r="P149" s="185"/>
      <c r="Q149" s="185"/>
      <c r="R149" s="185"/>
      <c r="S149" s="188"/>
      <c r="T149" s="188"/>
      <c r="U149" s="20"/>
      <c r="V149" s="25"/>
      <c r="W149" s="182"/>
      <c r="X149" s="185"/>
      <c r="Y149" s="185"/>
      <c r="Z149" s="185"/>
      <c r="AA149" s="185"/>
      <c r="AB149" s="185"/>
      <c r="AC149" s="188"/>
      <c r="AD149" s="188"/>
      <c r="AE149" s="20"/>
      <c r="AF149" s="25"/>
      <c r="AG149" s="29"/>
      <c r="AH149" s="146"/>
      <c r="AI149" s="146"/>
      <c r="AJ149" s="146"/>
      <c r="AK149" s="146"/>
      <c r="AL149" s="146"/>
      <c r="AM149" s="146"/>
      <c r="AN149" s="146"/>
      <c r="AO149" s="146"/>
      <c r="AP149" s="30"/>
      <c r="AQ149" s="29"/>
      <c r="AR149" s="146"/>
      <c r="AS149" s="146"/>
      <c r="AT149" s="146"/>
      <c r="AU149" s="146"/>
      <c r="AV149" s="146"/>
      <c r="AW149" s="146"/>
      <c r="AX149" s="146"/>
      <c r="AY149" s="146"/>
      <c r="AZ149" s="30"/>
      <c r="BA149" s="29"/>
      <c r="BB149" s="146"/>
      <c r="BC149" s="146"/>
      <c r="BD149" s="146"/>
      <c r="BE149" s="146"/>
      <c r="BF149" s="146"/>
      <c r="BG149" s="146"/>
      <c r="BH149" s="146"/>
      <c r="BI149" s="146"/>
      <c r="BJ149" s="30"/>
      <c r="BK149" s="29"/>
      <c r="BL149" s="146"/>
      <c r="BM149" s="146"/>
      <c r="BN149" s="146"/>
      <c r="BO149" s="146"/>
      <c r="BP149" s="146"/>
      <c r="BQ149" s="146"/>
      <c r="BR149" s="146"/>
      <c r="BS149" s="146"/>
      <c r="BT149" s="30"/>
      <c r="BU149" s="1"/>
      <c r="BV149" s="1"/>
    </row>
    <row r="150" spans="1:74" ht="15" customHeight="1" x14ac:dyDescent="0.2">
      <c r="A150" s="194"/>
      <c r="B150" s="5" t="s">
        <v>19</v>
      </c>
      <c r="C150" s="183"/>
      <c r="D150" s="186"/>
      <c r="E150" s="185"/>
      <c r="F150" s="185"/>
      <c r="G150" s="185"/>
      <c r="H150" s="185"/>
      <c r="I150" s="188"/>
      <c r="J150" s="188"/>
      <c r="K150" s="20"/>
      <c r="L150" s="25"/>
      <c r="M150" s="183"/>
      <c r="N150" s="186"/>
      <c r="O150" s="185"/>
      <c r="P150" s="185"/>
      <c r="Q150" s="185"/>
      <c r="R150" s="185"/>
      <c r="S150" s="188"/>
      <c r="T150" s="188"/>
      <c r="U150" s="20"/>
      <c r="V150" s="25"/>
      <c r="W150" s="183"/>
      <c r="X150" s="186"/>
      <c r="Y150" s="185"/>
      <c r="Z150" s="185"/>
      <c r="AA150" s="185"/>
      <c r="AB150" s="185"/>
      <c r="AC150" s="188"/>
      <c r="AD150" s="188"/>
      <c r="AE150" s="20"/>
      <c r="AF150" s="25"/>
      <c r="AG150" s="29"/>
      <c r="AH150" s="146"/>
      <c r="AI150" s="146"/>
      <c r="AJ150" s="146"/>
      <c r="AK150" s="146"/>
      <c r="AL150" s="146"/>
      <c r="AM150" s="146"/>
      <c r="AN150" s="146"/>
      <c r="AO150" s="146"/>
      <c r="AP150" s="30"/>
      <c r="AQ150" s="29"/>
      <c r="AR150" s="146"/>
      <c r="AS150" s="146"/>
      <c r="AT150" s="146"/>
      <c r="AU150" s="146"/>
      <c r="AV150" s="146"/>
      <c r="AW150" s="146"/>
      <c r="AX150" s="146"/>
      <c r="AY150" s="146"/>
      <c r="AZ150" s="30"/>
      <c r="BA150" s="29"/>
      <c r="BB150" s="146"/>
      <c r="BC150" s="146"/>
      <c r="BD150" s="146"/>
      <c r="BE150" s="146"/>
      <c r="BF150" s="146"/>
      <c r="BG150" s="146"/>
      <c r="BH150" s="146"/>
      <c r="BI150" s="146"/>
      <c r="BJ150" s="30"/>
      <c r="BK150" s="29"/>
      <c r="BL150" s="146"/>
      <c r="BM150" s="146"/>
      <c r="BN150" s="146"/>
      <c r="BO150" s="146"/>
      <c r="BP150" s="146"/>
      <c r="BQ150" s="146"/>
      <c r="BR150" s="146"/>
      <c r="BS150" s="146"/>
      <c r="BT150" s="30"/>
      <c r="BU150" s="1"/>
      <c r="BV150" s="1"/>
    </row>
    <row r="151" spans="1:74" ht="15" customHeight="1" x14ac:dyDescent="0.2">
      <c r="A151" s="194"/>
      <c r="B151" s="5" t="s">
        <v>20</v>
      </c>
      <c r="C151" s="28"/>
      <c r="D151" s="20"/>
      <c r="E151" s="185"/>
      <c r="F151" s="185"/>
      <c r="G151" s="185"/>
      <c r="H151" s="185"/>
      <c r="I151" s="188"/>
      <c r="J151" s="188"/>
      <c r="K151" s="20"/>
      <c r="L151" s="25"/>
      <c r="M151" s="28"/>
      <c r="N151" s="20"/>
      <c r="O151" s="185"/>
      <c r="P151" s="185"/>
      <c r="Q151" s="185"/>
      <c r="R151" s="185"/>
      <c r="S151" s="188"/>
      <c r="T151" s="188"/>
      <c r="U151" s="20"/>
      <c r="V151" s="25"/>
      <c r="W151" s="28"/>
      <c r="X151" s="20"/>
      <c r="Y151" s="185"/>
      <c r="Z151" s="185"/>
      <c r="AA151" s="185"/>
      <c r="AB151" s="185"/>
      <c r="AC151" s="188"/>
      <c r="AD151" s="188"/>
      <c r="AE151" s="20"/>
      <c r="AF151" s="25"/>
      <c r="AG151" s="29"/>
      <c r="AH151" s="146"/>
      <c r="AI151" s="146"/>
      <c r="AJ151" s="146"/>
      <c r="AK151" s="146"/>
      <c r="AL151" s="146"/>
      <c r="AM151" s="146"/>
      <c r="AN151" s="146"/>
      <c r="AO151" s="146"/>
      <c r="AP151" s="30"/>
      <c r="AQ151" s="29"/>
      <c r="AR151" s="146"/>
      <c r="AS151" s="146"/>
      <c r="AT151" s="146"/>
      <c r="AU151" s="146"/>
      <c r="AV151" s="146"/>
      <c r="AW151" s="146"/>
      <c r="AX151" s="146"/>
      <c r="AY151" s="146"/>
      <c r="AZ151" s="30"/>
      <c r="BA151" s="29"/>
      <c r="BB151" s="146"/>
      <c r="BC151" s="146"/>
      <c r="BD151" s="146"/>
      <c r="BE151" s="146"/>
      <c r="BF151" s="146"/>
      <c r="BG151" s="146"/>
      <c r="BH151" s="146"/>
      <c r="BI151" s="146"/>
      <c r="BJ151" s="30"/>
      <c r="BK151" s="29"/>
      <c r="BL151" s="146"/>
      <c r="BM151" s="146"/>
      <c r="BN151" s="146"/>
      <c r="BO151" s="146"/>
      <c r="BP151" s="146"/>
      <c r="BQ151" s="146"/>
      <c r="BR151" s="146"/>
      <c r="BS151" s="146"/>
      <c r="BT151" s="30"/>
      <c r="BU151" s="1"/>
      <c r="BV151" s="1"/>
    </row>
    <row r="152" spans="1:74" ht="15" customHeight="1" x14ac:dyDescent="0.2">
      <c r="A152" s="194"/>
      <c r="B152" s="5" t="s">
        <v>21</v>
      </c>
      <c r="C152" s="28"/>
      <c r="D152" s="20"/>
      <c r="E152" s="186"/>
      <c r="F152" s="186"/>
      <c r="G152" s="185"/>
      <c r="H152" s="185"/>
      <c r="I152" s="188"/>
      <c r="J152" s="188"/>
      <c r="K152" s="20"/>
      <c r="L152" s="25"/>
      <c r="M152" s="28"/>
      <c r="N152" s="20"/>
      <c r="O152" s="186"/>
      <c r="P152" s="186"/>
      <c r="Q152" s="185"/>
      <c r="R152" s="185"/>
      <c r="S152" s="188"/>
      <c r="T152" s="188"/>
      <c r="U152" s="20"/>
      <c r="V152" s="25"/>
      <c r="W152" s="28"/>
      <c r="X152" s="20"/>
      <c r="Y152" s="186"/>
      <c r="Z152" s="186"/>
      <c r="AA152" s="185"/>
      <c r="AB152" s="185"/>
      <c r="AC152" s="188"/>
      <c r="AD152" s="188"/>
      <c r="AE152" s="20"/>
      <c r="AF152" s="25"/>
      <c r="AG152" s="29"/>
      <c r="AH152" s="146"/>
      <c r="AI152" s="146"/>
      <c r="AJ152" s="146"/>
      <c r="AK152" s="146"/>
      <c r="AL152" s="146"/>
      <c r="AM152" s="146"/>
      <c r="AN152" s="146"/>
      <c r="AO152" s="146"/>
      <c r="AP152" s="30"/>
      <c r="AQ152" s="29"/>
      <c r="AR152" s="146"/>
      <c r="AS152" s="146"/>
      <c r="AT152" s="146"/>
      <c r="AU152" s="146"/>
      <c r="AV152" s="146"/>
      <c r="AW152" s="146"/>
      <c r="AX152" s="146"/>
      <c r="AY152" s="146"/>
      <c r="AZ152" s="30"/>
      <c r="BA152" s="29"/>
      <c r="BB152" s="146"/>
      <c r="BC152" s="146"/>
      <c r="BD152" s="146"/>
      <c r="BE152" s="146"/>
      <c r="BF152" s="146"/>
      <c r="BG152" s="146"/>
      <c r="BH152" s="146"/>
      <c r="BI152" s="146"/>
      <c r="BJ152" s="30"/>
      <c r="BK152" s="29"/>
      <c r="BL152" s="146"/>
      <c r="BM152" s="146"/>
      <c r="BN152" s="146"/>
      <c r="BO152" s="146"/>
      <c r="BP152" s="146"/>
      <c r="BQ152" s="146"/>
      <c r="BR152" s="146"/>
      <c r="BS152" s="146"/>
      <c r="BT152" s="30"/>
      <c r="BU152" s="1"/>
      <c r="BV152" s="1"/>
    </row>
    <row r="153" spans="1:74" ht="15" customHeight="1" x14ac:dyDescent="0.2">
      <c r="A153" s="194"/>
      <c r="B153" s="5" t="s">
        <v>22</v>
      </c>
      <c r="C153" s="28"/>
      <c r="D153" s="20"/>
      <c r="E153" s="20"/>
      <c r="F153" s="20"/>
      <c r="G153" s="185"/>
      <c r="H153" s="185"/>
      <c r="I153" s="188"/>
      <c r="J153" s="188"/>
      <c r="K153" s="20"/>
      <c r="L153" s="25"/>
      <c r="M153" s="28"/>
      <c r="N153" s="20"/>
      <c r="O153" s="20"/>
      <c r="P153" s="20"/>
      <c r="Q153" s="185"/>
      <c r="R153" s="185"/>
      <c r="S153" s="188"/>
      <c r="T153" s="188"/>
      <c r="U153" s="20"/>
      <c r="V153" s="25"/>
      <c r="W153" s="28"/>
      <c r="X153" s="20"/>
      <c r="Y153" s="20"/>
      <c r="Z153" s="20"/>
      <c r="AA153" s="185"/>
      <c r="AB153" s="185"/>
      <c r="AC153" s="188"/>
      <c r="AD153" s="188"/>
      <c r="AE153" s="20"/>
      <c r="AF153" s="25"/>
      <c r="AG153" s="29"/>
      <c r="AH153" s="146"/>
      <c r="AI153" s="146"/>
      <c r="AJ153" s="146"/>
      <c r="AK153" s="146"/>
      <c r="AL153" s="146"/>
      <c r="AM153" s="146"/>
      <c r="AN153" s="146"/>
      <c r="AO153" s="146"/>
      <c r="AP153" s="30"/>
      <c r="AQ153" s="29"/>
      <c r="AR153" s="146"/>
      <c r="AS153" s="146"/>
      <c r="AT153" s="146"/>
      <c r="AU153" s="146"/>
      <c r="AV153" s="146"/>
      <c r="AW153" s="146"/>
      <c r="AX153" s="146"/>
      <c r="AY153" s="146"/>
      <c r="AZ153" s="30"/>
      <c r="BA153" s="29"/>
      <c r="BB153" s="146"/>
      <c r="BC153" s="146"/>
      <c r="BD153" s="146"/>
      <c r="BE153" s="146"/>
      <c r="BF153" s="146"/>
      <c r="BG153" s="146"/>
      <c r="BH153" s="146"/>
      <c r="BI153" s="146"/>
      <c r="BJ153" s="30"/>
      <c r="BK153" s="29"/>
      <c r="BL153" s="146"/>
      <c r="BM153" s="146"/>
      <c r="BN153" s="146"/>
      <c r="BO153" s="146"/>
      <c r="BP153" s="146"/>
      <c r="BQ153" s="146"/>
      <c r="BR153" s="146"/>
      <c r="BS153" s="146"/>
      <c r="BT153" s="30"/>
      <c r="BU153" s="1"/>
      <c r="BV153" s="1"/>
    </row>
    <row r="154" spans="1:74" ht="15" customHeight="1" x14ac:dyDescent="0.2">
      <c r="A154" s="194"/>
      <c r="B154" s="5" t="s">
        <v>23</v>
      </c>
      <c r="C154" s="27"/>
      <c r="D154" s="20"/>
      <c r="E154" s="20"/>
      <c r="F154" s="21"/>
      <c r="G154" s="186"/>
      <c r="H154" s="186"/>
      <c r="I154" s="188"/>
      <c r="J154" s="188"/>
      <c r="K154" s="20"/>
      <c r="L154" s="25"/>
      <c r="M154" s="27"/>
      <c r="N154" s="20"/>
      <c r="O154" s="20"/>
      <c r="P154" s="21"/>
      <c r="Q154" s="186"/>
      <c r="R154" s="186"/>
      <c r="S154" s="188"/>
      <c r="T154" s="188"/>
      <c r="U154" s="20"/>
      <c r="V154" s="25"/>
      <c r="W154" s="27"/>
      <c r="X154" s="20"/>
      <c r="Y154" s="20"/>
      <c r="Z154" s="21"/>
      <c r="AA154" s="186"/>
      <c r="AB154" s="186"/>
      <c r="AC154" s="188"/>
      <c r="AD154" s="188"/>
      <c r="AE154" s="20"/>
      <c r="AF154" s="25"/>
      <c r="AG154" s="29"/>
      <c r="AH154" s="146"/>
      <c r="AI154" s="146"/>
      <c r="AJ154" s="146"/>
      <c r="AK154" s="146"/>
      <c r="AL154" s="146"/>
      <c r="AM154" s="146"/>
      <c r="AN154" s="146"/>
      <c r="AO154" s="146"/>
      <c r="AP154" s="30"/>
      <c r="AQ154" s="29"/>
      <c r="AR154" s="146"/>
      <c r="AS154" s="146"/>
      <c r="AT154" s="146"/>
      <c r="AU154" s="146"/>
      <c r="AV154" s="146"/>
      <c r="AW154" s="146"/>
      <c r="AX154" s="146"/>
      <c r="AY154" s="146"/>
      <c r="AZ154" s="30"/>
      <c r="BA154" s="29"/>
      <c r="BB154" s="146"/>
      <c r="BC154" s="146"/>
      <c r="BD154" s="146"/>
      <c r="BE154" s="146"/>
      <c r="BF154" s="146"/>
      <c r="BG154" s="146"/>
      <c r="BH154" s="146"/>
      <c r="BI154" s="146"/>
      <c r="BJ154" s="30"/>
      <c r="BK154" s="29"/>
      <c r="BL154" s="146"/>
      <c r="BM154" s="146"/>
      <c r="BN154" s="146"/>
      <c r="BO154" s="146"/>
      <c r="BP154" s="146"/>
      <c r="BQ154" s="146"/>
      <c r="BR154" s="146"/>
      <c r="BS154" s="146"/>
      <c r="BT154" s="30"/>
      <c r="BU154" s="1"/>
      <c r="BV154" s="1"/>
    </row>
    <row r="155" spans="1:74" ht="15" customHeight="1" x14ac:dyDescent="0.2">
      <c r="A155" s="194"/>
      <c r="B155" s="5" t="s">
        <v>24</v>
      </c>
      <c r="C155" s="144"/>
      <c r="D155" s="142"/>
      <c r="E155" s="142"/>
      <c r="F155" s="142"/>
      <c r="G155" s="142"/>
      <c r="H155" s="142"/>
      <c r="I155" s="188"/>
      <c r="J155" s="188"/>
      <c r="K155" s="142"/>
      <c r="L155" s="143"/>
      <c r="M155" s="144"/>
      <c r="N155" s="142"/>
      <c r="O155" s="142"/>
      <c r="P155" s="142"/>
      <c r="Q155" s="142"/>
      <c r="R155" s="142"/>
      <c r="S155" s="188"/>
      <c r="T155" s="188"/>
      <c r="U155" s="142"/>
      <c r="V155" s="143"/>
      <c r="W155" s="144"/>
      <c r="X155" s="142"/>
      <c r="Y155" s="142"/>
      <c r="Z155" s="142"/>
      <c r="AA155" s="142"/>
      <c r="AB155" s="142"/>
      <c r="AC155" s="188"/>
      <c r="AD155" s="188"/>
      <c r="AE155" s="142"/>
      <c r="AF155" s="143"/>
      <c r="AG155" s="29"/>
      <c r="AH155" s="146"/>
      <c r="AI155" s="146"/>
      <c r="AJ155" s="146"/>
      <c r="AK155" s="146"/>
      <c r="AL155" s="146"/>
      <c r="AM155" s="146"/>
      <c r="AN155" s="146"/>
      <c r="AO155" s="146"/>
      <c r="AP155" s="30"/>
      <c r="AQ155" s="29"/>
      <c r="AR155" s="146"/>
      <c r="AS155" s="146"/>
      <c r="AT155" s="146"/>
      <c r="AU155" s="146"/>
      <c r="AV155" s="146"/>
      <c r="AW155" s="146"/>
      <c r="AX155" s="146"/>
      <c r="AY155" s="146"/>
      <c r="AZ155" s="30"/>
      <c r="BA155" s="29"/>
      <c r="BB155" s="146"/>
      <c r="BC155" s="146"/>
      <c r="BD155" s="146"/>
      <c r="BE155" s="146"/>
      <c r="BF155" s="146"/>
      <c r="BG155" s="146"/>
      <c r="BH155" s="146"/>
      <c r="BI155" s="146"/>
      <c r="BJ155" s="30"/>
      <c r="BK155" s="29"/>
      <c r="BL155" s="146"/>
      <c r="BM155" s="146"/>
      <c r="BN155" s="146"/>
      <c r="BO155" s="146"/>
      <c r="BP155" s="146"/>
      <c r="BQ155" s="146"/>
      <c r="BR155" s="146"/>
      <c r="BS155" s="146"/>
      <c r="BT155" s="30"/>
      <c r="BU155" s="1"/>
      <c r="BV155" s="1"/>
    </row>
    <row r="156" spans="1:74" ht="15" customHeight="1" x14ac:dyDescent="0.2">
      <c r="A156" s="194"/>
      <c r="B156" s="5" t="s">
        <v>1</v>
      </c>
      <c r="C156" s="149"/>
      <c r="D156" s="145"/>
      <c r="E156" s="145"/>
      <c r="F156" s="145"/>
      <c r="G156" s="145"/>
      <c r="H156" s="145"/>
      <c r="I156" s="188"/>
      <c r="J156" s="188"/>
      <c r="K156" s="145"/>
      <c r="L156" s="150"/>
      <c r="M156" s="149"/>
      <c r="N156" s="145"/>
      <c r="O156" s="145"/>
      <c r="P156" s="145"/>
      <c r="Q156" s="145"/>
      <c r="R156" s="145"/>
      <c r="S156" s="188"/>
      <c r="T156" s="188"/>
      <c r="U156" s="145"/>
      <c r="V156" s="150"/>
      <c r="W156" s="149"/>
      <c r="X156" s="145"/>
      <c r="Y156" s="145"/>
      <c r="Z156" s="145"/>
      <c r="AA156" s="145"/>
      <c r="AB156" s="145"/>
      <c r="AC156" s="188"/>
      <c r="AD156" s="188"/>
      <c r="AE156" s="145"/>
      <c r="AF156" s="150"/>
      <c r="AG156" s="29"/>
      <c r="AH156" s="146"/>
      <c r="AI156" s="146"/>
      <c r="AJ156" s="146"/>
      <c r="AK156" s="146"/>
      <c r="AL156" s="146"/>
      <c r="AM156" s="146"/>
      <c r="AN156" s="146"/>
      <c r="AO156" s="146"/>
      <c r="AP156" s="30"/>
      <c r="AQ156" s="29"/>
      <c r="AR156" s="146"/>
      <c r="AS156" s="146"/>
      <c r="AT156" s="146"/>
      <c r="AU156" s="146"/>
      <c r="AV156" s="146"/>
      <c r="AW156" s="146"/>
      <c r="AX156" s="146"/>
      <c r="AY156" s="146"/>
      <c r="AZ156" s="30"/>
      <c r="BA156" s="29"/>
      <c r="BB156" s="146"/>
      <c r="BC156" s="146"/>
      <c r="BD156" s="146"/>
      <c r="BE156" s="146"/>
      <c r="BF156" s="146"/>
      <c r="BG156" s="146"/>
      <c r="BH156" s="146"/>
      <c r="BI156" s="146"/>
      <c r="BJ156" s="30"/>
      <c r="BK156" s="29"/>
      <c r="BL156" s="146"/>
      <c r="BM156" s="146"/>
      <c r="BN156" s="146"/>
      <c r="BO156" s="146"/>
      <c r="BP156" s="146"/>
      <c r="BQ156" s="146"/>
      <c r="BR156" s="146"/>
      <c r="BS156" s="146"/>
      <c r="BT156" s="30"/>
      <c r="BU156" s="1"/>
      <c r="BV156" s="1"/>
    </row>
    <row r="157" spans="1:74" ht="15.75" customHeight="1" thickBot="1" x14ac:dyDescent="0.25">
      <c r="A157" s="194"/>
      <c r="B157" s="7" t="s">
        <v>2</v>
      </c>
      <c r="C157" s="136"/>
      <c r="D157" s="135"/>
      <c r="E157" s="135"/>
      <c r="F157" s="135"/>
      <c r="G157" s="135"/>
      <c r="H157" s="135"/>
      <c r="I157" s="189"/>
      <c r="J157" s="189"/>
      <c r="K157" s="135"/>
      <c r="L157" s="137"/>
      <c r="M157" s="136"/>
      <c r="N157" s="135"/>
      <c r="O157" s="135"/>
      <c r="P157" s="135"/>
      <c r="Q157" s="135"/>
      <c r="R157" s="135"/>
      <c r="S157" s="189"/>
      <c r="T157" s="189"/>
      <c r="U157" s="135"/>
      <c r="V157" s="137"/>
      <c r="W157" s="136"/>
      <c r="X157" s="135"/>
      <c r="Y157" s="135"/>
      <c r="Z157" s="135"/>
      <c r="AA157" s="135"/>
      <c r="AB157" s="135"/>
      <c r="AC157" s="189"/>
      <c r="AD157" s="189"/>
      <c r="AE157" s="135"/>
      <c r="AF157" s="137"/>
      <c r="AG157" s="31"/>
      <c r="AH157" s="16"/>
      <c r="AI157" s="16"/>
      <c r="AJ157" s="16"/>
      <c r="AK157" s="16"/>
      <c r="AL157" s="16"/>
      <c r="AM157" s="16"/>
      <c r="AN157" s="16"/>
      <c r="AO157" s="16"/>
      <c r="AP157" s="32"/>
      <c r="AQ157" s="31"/>
      <c r="AR157" s="16"/>
      <c r="AS157" s="16"/>
      <c r="AT157" s="16"/>
      <c r="AU157" s="16"/>
      <c r="AV157" s="16"/>
      <c r="AW157" s="16"/>
      <c r="AX157" s="16"/>
      <c r="AY157" s="16"/>
      <c r="AZ157" s="32"/>
      <c r="BA157" s="31"/>
      <c r="BB157" s="16"/>
      <c r="BC157" s="16"/>
      <c r="BD157" s="16"/>
      <c r="BE157" s="16"/>
      <c r="BF157" s="16"/>
      <c r="BG157" s="16"/>
      <c r="BH157" s="16"/>
      <c r="BI157" s="16"/>
      <c r="BJ157" s="32"/>
      <c r="BK157" s="31"/>
      <c r="BL157" s="16"/>
      <c r="BM157" s="16"/>
      <c r="BN157" s="16"/>
      <c r="BO157" s="16"/>
      <c r="BP157" s="16"/>
      <c r="BQ157" s="16"/>
      <c r="BR157" s="16"/>
      <c r="BS157" s="16"/>
      <c r="BT157" s="32"/>
      <c r="BU157" s="1"/>
      <c r="BV157" s="1"/>
    </row>
    <row r="158" spans="1:74" x14ac:dyDescent="0.2">
      <c r="A158" s="8"/>
      <c r="B158" s="9"/>
      <c r="C158" s="1"/>
      <c r="D158" s="1"/>
      <c r="E158" s="1"/>
      <c r="F158" s="1"/>
      <c r="G158" s="1"/>
      <c r="H158" s="11"/>
      <c r="I158" s="11"/>
      <c r="J158" s="11"/>
      <c r="K158" s="12"/>
      <c r="L158" s="12"/>
      <c r="M158" s="1"/>
      <c r="N158" s="1"/>
      <c r="O158" s="1"/>
      <c r="P158" s="11"/>
      <c r="Q158" s="11"/>
      <c r="R158" s="11"/>
      <c r="S158" s="11"/>
      <c r="T158" s="12"/>
      <c r="U158" s="12"/>
      <c r="V158" s="13"/>
      <c r="W158" s="1"/>
      <c r="X158" s="1"/>
      <c r="Y158" s="1"/>
      <c r="Z158" s="11"/>
      <c r="AA158" s="11"/>
      <c r="AB158" s="1"/>
      <c r="AC158" s="11"/>
      <c r="AD158" s="11"/>
      <c r="AE158" s="11"/>
      <c r="AF158" s="1"/>
      <c r="AG158" s="1"/>
      <c r="AH158" s="1"/>
      <c r="AI158" s="1"/>
      <c r="AJ158" s="11"/>
      <c r="AK158" s="11"/>
      <c r="AL158" s="11"/>
      <c r="AM158" s="11"/>
      <c r="AN158" s="11"/>
      <c r="AO158" s="11"/>
      <c r="AP158" s="13"/>
      <c r="AQ158" s="1"/>
      <c r="AR158" s="1"/>
      <c r="AS158" s="1"/>
      <c r="AT158" s="11"/>
      <c r="AU158" s="11"/>
      <c r="AV158" s="11"/>
      <c r="AW158" s="11"/>
      <c r="AX158" s="1"/>
      <c r="AY158" s="1"/>
      <c r="AZ158" s="13"/>
      <c r="BA158" s="1"/>
      <c r="BB158" s="1"/>
      <c r="BC158" s="1"/>
      <c r="BD158" s="1"/>
      <c r="BE158" s="1"/>
      <c r="BF158" s="1"/>
      <c r="BG158" s="1"/>
      <c r="BH158" s="11"/>
      <c r="BI158" s="12"/>
      <c r="BJ158" s="1"/>
      <c r="BK158" s="10"/>
      <c r="BL158" s="10"/>
      <c r="BM158" s="1"/>
      <c r="BN158" s="1"/>
      <c r="BO158" s="11"/>
      <c r="BP158" s="11"/>
      <c r="BQ158" s="11"/>
      <c r="BR158" s="1"/>
      <c r="BS158" s="1"/>
      <c r="BT158" s="1"/>
      <c r="BU158" s="1"/>
      <c r="BV158" s="1"/>
    </row>
    <row r="159" spans="1:74" x14ac:dyDescent="0.2">
      <c r="A159" s="8"/>
      <c r="B159" s="9"/>
      <c r="C159" s="1"/>
      <c r="D159" s="1"/>
      <c r="E159" s="1"/>
      <c r="F159" s="1"/>
      <c r="G159" s="1"/>
      <c r="H159" s="11"/>
      <c r="I159" s="11"/>
      <c r="J159" s="11"/>
      <c r="K159" s="12"/>
      <c r="L159" s="12"/>
      <c r="M159" s="1"/>
      <c r="N159" s="1"/>
      <c r="O159" s="1"/>
      <c r="P159" s="11"/>
      <c r="Q159" s="11"/>
      <c r="R159" s="11"/>
      <c r="S159" s="11"/>
      <c r="T159" s="12"/>
      <c r="U159" s="12"/>
      <c r="V159" s="13"/>
      <c r="W159" s="1"/>
      <c r="X159" s="1"/>
      <c r="Y159" s="1"/>
      <c r="Z159" s="11"/>
      <c r="AA159" s="11"/>
      <c r="AB159" s="1"/>
      <c r="AC159" s="11"/>
      <c r="AD159" s="11"/>
      <c r="AE159" s="11"/>
      <c r="AF159" s="1"/>
      <c r="AG159" s="1"/>
      <c r="AH159" s="1"/>
      <c r="AI159" s="1"/>
      <c r="AJ159" s="11"/>
      <c r="AK159" s="11"/>
      <c r="AL159" s="11"/>
      <c r="AM159" s="11"/>
      <c r="AN159" s="11"/>
      <c r="AO159" s="11"/>
      <c r="AP159" s="13"/>
      <c r="AQ159" s="1"/>
      <c r="AR159" s="1"/>
      <c r="AS159" s="1"/>
      <c r="AT159" s="11"/>
      <c r="AU159" s="11"/>
      <c r="AV159" s="11"/>
      <c r="AW159" s="11"/>
      <c r="AX159" s="1"/>
      <c r="AY159" s="1"/>
      <c r="AZ159" s="13"/>
      <c r="BA159" s="1"/>
      <c r="BB159" s="1"/>
      <c r="BC159" s="1"/>
      <c r="BD159" s="1"/>
      <c r="BE159" s="1"/>
      <c r="BF159" s="1"/>
      <c r="BG159" s="1"/>
      <c r="BH159" s="11"/>
      <c r="BI159" s="12"/>
      <c r="BJ159" s="1"/>
      <c r="BK159" s="10"/>
      <c r="BL159" s="1"/>
      <c r="BM159" s="1"/>
      <c r="BN159" s="1"/>
      <c r="BO159" s="11"/>
      <c r="BP159" s="11"/>
      <c r="BQ159" s="11"/>
      <c r="BR159" s="10"/>
      <c r="BS159" s="1"/>
      <c r="BT159" s="1"/>
      <c r="BU159" s="1"/>
      <c r="BV159" s="1"/>
    </row>
    <row r="160" spans="1:74" x14ac:dyDescent="0.2">
      <c r="A160" s="8"/>
      <c r="B160" s="9"/>
      <c r="C160" s="1"/>
      <c r="D160" s="1"/>
      <c r="E160" s="1"/>
      <c r="F160" s="15"/>
      <c r="G160" s="1"/>
      <c r="H160" s="1"/>
      <c r="I160" s="11"/>
      <c r="J160" s="11"/>
      <c r="K160" s="12"/>
      <c r="L160" s="12"/>
      <c r="M160" s="1"/>
      <c r="N160" s="1"/>
      <c r="O160" s="1"/>
      <c r="P160" s="1"/>
      <c r="Q160" s="10"/>
      <c r="R160" s="1"/>
      <c r="S160" s="11"/>
      <c r="T160" s="12"/>
      <c r="U160" s="12"/>
      <c r="V160" s="13"/>
      <c r="W160" s="1"/>
      <c r="X160" s="1"/>
      <c r="Y160" s="1"/>
      <c r="Z160" s="10"/>
      <c r="AA160" s="10"/>
      <c r="AB160" s="1"/>
      <c r="AC160" s="11"/>
      <c r="AD160" s="11"/>
      <c r="AE160" s="11"/>
      <c r="AF160" s="1"/>
      <c r="AG160" s="1"/>
      <c r="AH160" s="1"/>
      <c r="AI160" s="1"/>
      <c r="AJ160" s="15"/>
      <c r="AK160" s="1"/>
      <c r="AL160" s="1"/>
      <c r="AM160" s="11"/>
      <c r="AN160" s="11"/>
      <c r="AO160" s="11"/>
      <c r="AP160" s="13"/>
      <c r="AQ160" s="1"/>
      <c r="AR160" s="1"/>
      <c r="AS160" s="1"/>
      <c r="AT160" s="10"/>
      <c r="AU160" s="1"/>
      <c r="AV160" s="1"/>
      <c r="AW160" s="1"/>
      <c r="AX160" s="1"/>
      <c r="AY160" s="1"/>
      <c r="AZ160" s="13"/>
      <c r="BA160" s="10"/>
      <c r="BB160" s="1"/>
      <c r="BC160" s="1"/>
      <c r="BD160" s="1"/>
      <c r="BE160" s="1"/>
      <c r="BF160" s="1"/>
      <c r="BG160" s="1"/>
      <c r="BH160" s="10"/>
      <c r="BI160" s="12"/>
      <c r="BJ160" s="1"/>
      <c r="BK160" s="10"/>
      <c r="BL160" s="1"/>
      <c r="BM160" s="1"/>
      <c r="BN160" s="10"/>
      <c r="BO160" s="10"/>
      <c r="BP160" s="10"/>
      <c r="BQ160" s="10"/>
      <c r="BR160" s="10"/>
      <c r="BS160" s="1"/>
      <c r="BT160" s="10"/>
      <c r="BU160" s="1"/>
      <c r="BV160" s="1"/>
    </row>
    <row r="161" spans="1:74" x14ac:dyDescent="0.2">
      <c r="A161" s="8"/>
      <c r="B161" s="9"/>
      <c r="C161" s="1"/>
      <c r="D161" s="1"/>
      <c r="E161" s="1"/>
      <c r="F161" s="15"/>
      <c r="G161" s="1"/>
      <c r="H161" s="14"/>
      <c r="I161" s="1"/>
      <c r="J161" s="1"/>
      <c r="K161" s="12"/>
      <c r="L161" s="12"/>
      <c r="M161" s="10"/>
      <c r="N161" s="1"/>
      <c r="O161" s="1"/>
      <c r="P161" s="1"/>
      <c r="Q161" s="10"/>
      <c r="R161" s="1"/>
      <c r="S161" s="1"/>
      <c r="T161" s="12"/>
      <c r="U161" s="12"/>
      <c r="V161" s="13"/>
      <c r="W161" s="10"/>
      <c r="X161" s="1"/>
      <c r="Y161" s="1"/>
      <c r="Z161" s="10"/>
      <c r="AA161" s="10"/>
      <c r="AB161" s="1"/>
      <c r="AC161" s="1"/>
      <c r="AD161" s="1"/>
      <c r="AE161" s="1"/>
      <c r="AF161" s="1"/>
      <c r="AG161" s="1"/>
      <c r="AH161" s="1"/>
      <c r="AI161" s="1"/>
      <c r="AJ161" s="10"/>
      <c r="AK161" s="1"/>
      <c r="AL161" s="1"/>
      <c r="AM161" s="1"/>
      <c r="AN161" s="1"/>
      <c r="AO161" s="1"/>
      <c r="AP161" s="13"/>
      <c r="AQ161" s="10"/>
      <c r="AR161" s="1"/>
      <c r="AS161" s="1"/>
      <c r="AT161" s="10"/>
      <c r="AU161" s="10"/>
      <c r="AV161" s="1"/>
      <c r="AW161" s="1"/>
      <c r="AX161" s="1"/>
      <c r="AY161" s="1"/>
      <c r="AZ161" s="13"/>
      <c r="BA161" s="10"/>
      <c r="BB161" s="1"/>
      <c r="BC161" s="1"/>
      <c r="BD161" s="1"/>
      <c r="BE161" s="1"/>
      <c r="BF161" s="1"/>
      <c r="BG161" s="1"/>
      <c r="BH161" s="10"/>
      <c r="BI161" s="12"/>
      <c r="BJ161" s="1"/>
      <c r="BK161" s="10"/>
      <c r="BL161" s="1"/>
      <c r="BM161" s="1"/>
      <c r="BN161" s="10"/>
      <c r="BO161" s="10"/>
      <c r="BP161" s="10"/>
      <c r="BQ161" s="10"/>
      <c r="BR161" s="10"/>
      <c r="BS161" s="1"/>
      <c r="BT161" s="10"/>
      <c r="BU161" s="1"/>
      <c r="BV161" s="1"/>
    </row>
    <row r="162" spans="1:74" x14ac:dyDescent="0.2">
      <c r="A162" s="8"/>
      <c r="B162" s="9"/>
      <c r="C162" s="1"/>
      <c r="D162" s="11"/>
      <c r="E162" s="1"/>
      <c r="F162" s="15"/>
      <c r="G162" s="1"/>
      <c r="H162" s="10"/>
      <c r="I162" s="1"/>
      <c r="J162" s="1"/>
      <c r="K162" s="12"/>
      <c r="L162" s="12"/>
      <c r="M162" s="10"/>
      <c r="N162" s="11"/>
      <c r="O162" s="1"/>
      <c r="P162" s="1"/>
      <c r="Q162" s="10"/>
      <c r="R162" s="1"/>
      <c r="S162" s="1"/>
      <c r="T162" s="12"/>
      <c r="U162" s="12"/>
      <c r="V162" s="13"/>
      <c r="W162" s="10"/>
      <c r="X162" s="11"/>
      <c r="Y162" s="1"/>
      <c r="Z162" s="10"/>
      <c r="AA162" s="10"/>
      <c r="AB162" s="1"/>
      <c r="AC162" s="1"/>
      <c r="AD162" s="1"/>
      <c r="AE162" s="1"/>
      <c r="AF162" s="1"/>
      <c r="AG162" s="1"/>
      <c r="AH162" s="11"/>
      <c r="AI162" s="1"/>
      <c r="AJ162" s="10"/>
      <c r="AK162" s="1"/>
      <c r="AL162" s="1"/>
      <c r="AM162" s="1"/>
      <c r="AN162" s="1"/>
      <c r="AO162" s="1"/>
      <c r="AP162" s="13"/>
      <c r="AQ162" s="10"/>
      <c r="AR162" s="1"/>
      <c r="AS162" s="1"/>
      <c r="AT162" s="10"/>
      <c r="AU162" s="10"/>
      <c r="AV162" s="1"/>
      <c r="AW162" s="1"/>
      <c r="AX162" s="1"/>
      <c r="AY162" s="1"/>
      <c r="AZ162" s="13"/>
      <c r="BA162" s="10"/>
      <c r="BB162" s="11"/>
      <c r="BC162" s="1"/>
      <c r="BD162" s="1"/>
      <c r="BE162" s="1"/>
      <c r="BF162" s="1"/>
      <c r="BG162" s="1"/>
      <c r="BH162" s="10"/>
      <c r="BI162" s="12"/>
      <c r="BJ162" s="1"/>
      <c r="BK162" s="10"/>
      <c r="BL162" s="1"/>
      <c r="BM162" s="1"/>
      <c r="BN162" s="10"/>
      <c r="BO162" s="10"/>
      <c r="BP162" s="10"/>
      <c r="BQ162" s="10"/>
      <c r="BR162" s="10"/>
      <c r="BS162" s="1"/>
      <c r="BT162" s="10"/>
      <c r="BU162" s="1"/>
      <c r="BV162" s="1"/>
    </row>
    <row r="163" spans="1:74" x14ac:dyDescent="0.2">
      <c r="A163" s="47"/>
      <c r="B163" s="48"/>
      <c r="D163" s="49"/>
      <c r="F163" s="50"/>
      <c r="H163" s="51"/>
      <c r="K163" s="52"/>
      <c r="L163" s="52"/>
      <c r="M163" s="51"/>
      <c r="N163" s="49"/>
      <c r="Q163" s="51"/>
      <c r="T163" s="52"/>
      <c r="U163" s="52"/>
      <c r="V163" s="53"/>
      <c r="W163" s="51"/>
      <c r="X163" s="49"/>
      <c r="Z163" s="51"/>
      <c r="AA163" s="51"/>
      <c r="AH163" s="49"/>
      <c r="AJ163" s="51"/>
      <c r="AP163" s="53"/>
      <c r="AQ163" s="51"/>
      <c r="AT163" s="51"/>
      <c r="AU163" s="51"/>
      <c r="AZ163" s="53"/>
      <c r="BA163" s="51"/>
      <c r="BB163" s="49"/>
      <c r="BF163" s="51"/>
      <c r="BG163" s="51"/>
      <c r="BH163" s="51"/>
      <c r="BI163" s="52"/>
      <c r="BK163" s="51"/>
      <c r="BN163" s="51"/>
      <c r="BO163" s="51"/>
      <c r="BP163" s="51"/>
      <c r="BQ163" s="51"/>
      <c r="BR163" s="51"/>
      <c r="BT163" s="51"/>
    </row>
    <row r="164" spans="1:74" x14ac:dyDescent="0.2">
      <c r="A164" s="47"/>
      <c r="B164" s="48"/>
      <c r="D164" s="49"/>
      <c r="F164" s="51"/>
      <c r="H164" s="51"/>
      <c r="K164" s="52"/>
      <c r="L164" s="52"/>
      <c r="M164" s="51"/>
      <c r="N164" s="49"/>
      <c r="Q164" s="51"/>
      <c r="T164" s="52"/>
      <c r="U164" s="52"/>
      <c r="V164" s="53"/>
      <c r="W164" s="51"/>
      <c r="X164" s="49"/>
      <c r="Z164" s="51"/>
      <c r="AA164" s="51"/>
      <c r="AH164" s="49"/>
      <c r="AJ164" s="51"/>
      <c r="AP164" s="53"/>
      <c r="AQ164" s="51"/>
      <c r="AS164" s="50"/>
      <c r="AT164" s="51"/>
      <c r="AU164" s="51"/>
      <c r="AV164" s="51"/>
      <c r="AW164" s="51"/>
      <c r="AZ164" s="53"/>
      <c r="BA164" s="51"/>
      <c r="BB164" s="49"/>
      <c r="BF164" s="51"/>
      <c r="BG164" s="51"/>
      <c r="BH164" s="51"/>
      <c r="BI164" s="52"/>
      <c r="BK164" s="51"/>
      <c r="BM164" s="51"/>
      <c r="BN164" s="51"/>
      <c r="BO164" s="51"/>
      <c r="BP164" s="51"/>
      <c r="BQ164" s="51"/>
      <c r="BR164" s="51"/>
      <c r="BS164" s="54"/>
      <c r="BT164" s="51"/>
    </row>
  </sheetData>
  <mergeCells count="390">
    <mergeCell ref="AT112:AT121"/>
    <mergeCell ref="BC112:BC121"/>
    <mergeCell ref="BS38:BS48"/>
    <mergeCell ref="BT38:BT48"/>
    <mergeCell ref="BK47:BK57"/>
    <mergeCell ref="BL47:BL57"/>
    <mergeCell ref="BM50:BM59"/>
    <mergeCell ref="BN50:BN59"/>
    <mergeCell ref="BO52:BO61"/>
    <mergeCell ref="BP52:BP61"/>
    <mergeCell ref="BQ55:BQ64"/>
    <mergeCell ref="BR55:BR64"/>
    <mergeCell ref="BS7:BS17"/>
    <mergeCell ref="BT7:BT17"/>
    <mergeCell ref="BK16:BK26"/>
    <mergeCell ref="BL16:BL26"/>
    <mergeCell ref="BM19:BM28"/>
    <mergeCell ref="BN19:BN28"/>
    <mergeCell ref="BO21:BO30"/>
    <mergeCell ref="BP21:BP30"/>
    <mergeCell ref="BQ24:BQ33"/>
    <mergeCell ref="BR24:BR33"/>
    <mergeCell ref="BD112:BD121"/>
    <mergeCell ref="AU114:AU123"/>
    <mergeCell ref="AV114:AV123"/>
    <mergeCell ref="BE114:BE123"/>
    <mergeCell ref="BF114:BF123"/>
    <mergeCell ref="AW117:AW126"/>
    <mergeCell ref="AX117:AX126"/>
    <mergeCell ref="W109:W119"/>
    <mergeCell ref="X109:X119"/>
    <mergeCell ref="AG109:AG119"/>
    <mergeCell ref="AH109:AH119"/>
    <mergeCell ref="Y112:Y121"/>
    <mergeCell ref="Z112:Z121"/>
    <mergeCell ref="AI112:AI121"/>
    <mergeCell ref="AJ112:AJ121"/>
    <mergeCell ref="AA114:AA123"/>
    <mergeCell ref="AB114:AB123"/>
    <mergeCell ref="AC117:AC126"/>
    <mergeCell ref="AD117:AD126"/>
    <mergeCell ref="AO100:AO110"/>
    <mergeCell ref="AP100:AP110"/>
    <mergeCell ref="AK114:AK123"/>
    <mergeCell ref="AL114:AL123"/>
    <mergeCell ref="AM117:AM126"/>
    <mergeCell ref="BG86:BG95"/>
    <mergeCell ref="BH86:BH95"/>
    <mergeCell ref="K100:K110"/>
    <mergeCell ref="L100:L110"/>
    <mergeCell ref="U100:U110"/>
    <mergeCell ref="V100:V110"/>
    <mergeCell ref="C109:C119"/>
    <mergeCell ref="D109:D119"/>
    <mergeCell ref="M109:M119"/>
    <mergeCell ref="N109:N119"/>
    <mergeCell ref="E112:E121"/>
    <mergeCell ref="F112:F121"/>
    <mergeCell ref="O112:O121"/>
    <mergeCell ref="P112:P121"/>
    <mergeCell ref="G114:G123"/>
    <mergeCell ref="H114:H123"/>
    <mergeCell ref="Q114:Q123"/>
    <mergeCell ref="R114:R123"/>
    <mergeCell ref="I117:I126"/>
    <mergeCell ref="J117:J126"/>
    <mergeCell ref="S117:S126"/>
    <mergeCell ref="T117:T126"/>
    <mergeCell ref="AE100:AE110"/>
    <mergeCell ref="AF100:AF110"/>
    <mergeCell ref="BB78:BB88"/>
    <mergeCell ref="AS81:AS90"/>
    <mergeCell ref="AT81:AT90"/>
    <mergeCell ref="BC81:BC90"/>
    <mergeCell ref="BD81:BD90"/>
    <mergeCell ref="AU83:AU92"/>
    <mergeCell ref="AV83:AV92"/>
    <mergeCell ref="BE83:BE92"/>
    <mergeCell ref="BF83:BF92"/>
    <mergeCell ref="AW86:AW95"/>
    <mergeCell ref="AX86:AX95"/>
    <mergeCell ref="AY69:AY79"/>
    <mergeCell ref="AZ69:AZ79"/>
    <mergeCell ref="AE69:AE79"/>
    <mergeCell ref="AF69:AF79"/>
    <mergeCell ref="AO69:AO79"/>
    <mergeCell ref="AP69:AP79"/>
    <mergeCell ref="W78:W88"/>
    <mergeCell ref="X78:X88"/>
    <mergeCell ref="AG78:AG88"/>
    <mergeCell ref="AH78:AH88"/>
    <mergeCell ref="Y81:Y90"/>
    <mergeCell ref="Z81:Z90"/>
    <mergeCell ref="AI81:AI90"/>
    <mergeCell ref="AJ81:AJ90"/>
    <mergeCell ref="AA83:AA92"/>
    <mergeCell ref="AB83:AB92"/>
    <mergeCell ref="AK83:AK92"/>
    <mergeCell ref="AL83:AL92"/>
    <mergeCell ref="AC86:AC95"/>
    <mergeCell ref="AD86:AD95"/>
    <mergeCell ref="AM86:AM95"/>
    <mergeCell ref="AN86:AN95"/>
    <mergeCell ref="C78:C88"/>
    <mergeCell ref="D78:D88"/>
    <mergeCell ref="M78:M88"/>
    <mergeCell ref="N78:N88"/>
    <mergeCell ref="E81:E90"/>
    <mergeCell ref="F81:F90"/>
    <mergeCell ref="O81:O90"/>
    <mergeCell ref="P81:P90"/>
    <mergeCell ref="G83:G92"/>
    <mergeCell ref="H83:H92"/>
    <mergeCell ref="I86:I95"/>
    <mergeCell ref="J86:J95"/>
    <mergeCell ref="K69:K79"/>
    <mergeCell ref="L69:L79"/>
    <mergeCell ref="BD50:BD59"/>
    <mergeCell ref="AU52:AU61"/>
    <mergeCell ref="AV52:AV61"/>
    <mergeCell ref="BE52:BE61"/>
    <mergeCell ref="BF52:BF61"/>
    <mergeCell ref="AW55:AW64"/>
    <mergeCell ref="AX55:AX64"/>
    <mergeCell ref="BG55:BG64"/>
    <mergeCell ref="BH55:BH64"/>
    <mergeCell ref="C47:C57"/>
    <mergeCell ref="D47:D57"/>
    <mergeCell ref="M47:M57"/>
    <mergeCell ref="N47:N57"/>
    <mergeCell ref="E50:E59"/>
    <mergeCell ref="F50:F59"/>
    <mergeCell ref="O50:O59"/>
    <mergeCell ref="P50:P59"/>
    <mergeCell ref="G52:G61"/>
    <mergeCell ref="H52:H61"/>
    <mergeCell ref="I55:I64"/>
    <mergeCell ref="J55:J64"/>
    <mergeCell ref="K38:K48"/>
    <mergeCell ref="L38:L48"/>
    <mergeCell ref="U38:U48"/>
    <mergeCell ref="V38:V48"/>
    <mergeCell ref="AE38:AE48"/>
    <mergeCell ref="AF38:AF48"/>
    <mergeCell ref="AO38:AO48"/>
    <mergeCell ref="AP38:AP48"/>
    <mergeCell ref="W47:W57"/>
    <mergeCell ref="X47:X57"/>
    <mergeCell ref="AG47:AG57"/>
    <mergeCell ref="AH47:AH57"/>
    <mergeCell ref="Y50:Y59"/>
    <mergeCell ref="Z50:Z59"/>
    <mergeCell ref="AI50:AI59"/>
    <mergeCell ref="AJ50:AJ59"/>
    <mergeCell ref="AA52:AA61"/>
    <mergeCell ref="AB52:AB61"/>
    <mergeCell ref="AK52:AK61"/>
    <mergeCell ref="I24:I33"/>
    <mergeCell ref="J24:J33"/>
    <mergeCell ref="K7:K17"/>
    <mergeCell ref="U7:U17"/>
    <mergeCell ref="AE7:AE17"/>
    <mergeCell ref="AF7:AF17"/>
    <mergeCell ref="AO7:AO17"/>
    <mergeCell ref="AP7:AP17"/>
    <mergeCell ref="W16:W26"/>
    <mergeCell ref="X16:X26"/>
    <mergeCell ref="AG16:AG26"/>
    <mergeCell ref="AH16:AH26"/>
    <mergeCell ref="Y19:Y28"/>
    <mergeCell ref="Z19:Z28"/>
    <mergeCell ref="AI19:AI28"/>
    <mergeCell ref="AJ19:AJ28"/>
    <mergeCell ref="AA21:AA30"/>
    <mergeCell ref="AB21:AB30"/>
    <mergeCell ref="AK21:AK30"/>
    <mergeCell ref="AL21:AL30"/>
    <mergeCell ref="AC24:AC33"/>
    <mergeCell ref="AD24:AD33"/>
    <mergeCell ref="AM24:AM33"/>
    <mergeCell ref="AN24:AN33"/>
    <mergeCell ref="BK128:BT128"/>
    <mergeCell ref="BA127:BJ127"/>
    <mergeCell ref="BK127:BT127"/>
    <mergeCell ref="L7:L17"/>
    <mergeCell ref="AY7:AY17"/>
    <mergeCell ref="AZ7:AZ17"/>
    <mergeCell ref="BI7:BI17"/>
    <mergeCell ref="BJ7:BJ17"/>
    <mergeCell ref="AQ16:AQ26"/>
    <mergeCell ref="AR16:AR26"/>
    <mergeCell ref="BA16:BA26"/>
    <mergeCell ref="BB16:BB26"/>
    <mergeCell ref="AS19:AS28"/>
    <mergeCell ref="AT19:AT28"/>
    <mergeCell ref="BC19:BC28"/>
    <mergeCell ref="BD19:BD28"/>
    <mergeCell ref="AU21:AU30"/>
    <mergeCell ref="AV21:AV30"/>
    <mergeCell ref="BE21:BE30"/>
    <mergeCell ref="BF21:BF30"/>
    <mergeCell ref="AW24:AW33"/>
    <mergeCell ref="AX24:AX33"/>
    <mergeCell ref="BG24:BG33"/>
    <mergeCell ref="BH24:BH33"/>
    <mergeCell ref="BI69:BI79"/>
    <mergeCell ref="BJ69:BJ79"/>
    <mergeCell ref="AQ78:AQ88"/>
    <mergeCell ref="AR78:AR88"/>
    <mergeCell ref="BA78:BA88"/>
    <mergeCell ref="BA35:BJ35"/>
    <mergeCell ref="BK35:BT35"/>
    <mergeCell ref="AQ34:AZ34"/>
    <mergeCell ref="BA128:BJ128"/>
    <mergeCell ref="BJ100:BJ110"/>
    <mergeCell ref="BA65:BJ65"/>
    <mergeCell ref="BK65:BT65"/>
    <mergeCell ref="BS69:BS79"/>
    <mergeCell ref="BT69:BT79"/>
    <mergeCell ref="BK78:BK88"/>
    <mergeCell ref="BL78:BL88"/>
    <mergeCell ref="BM81:BM90"/>
    <mergeCell ref="BN81:BN90"/>
    <mergeCell ref="BO83:BO92"/>
    <mergeCell ref="BP83:BP92"/>
    <mergeCell ref="BQ86:BQ95"/>
    <mergeCell ref="BR86:BR95"/>
    <mergeCell ref="BS100:BS110"/>
    <mergeCell ref="BT100:BT110"/>
    <mergeCell ref="AG128:AP128"/>
    <mergeCell ref="AQ128:AZ128"/>
    <mergeCell ref="K131:K141"/>
    <mergeCell ref="L131:L141"/>
    <mergeCell ref="U131:U141"/>
    <mergeCell ref="V131:V141"/>
    <mergeCell ref="C140:C150"/>
    <mergeCell ref="D140:D150"/>
    <mergeCell ref="M140:M150"/>
    <mergeCell ref="N140:N150"/>
    <mergeCell ref="F143:F152"/>
    <mergeCell ref="O143:O152"/>
    <mergeCell ref="P143:P152"/>
    <mergeCell ref="G145:G154"/>
    <mergeCell ref="H145:H154"/>
    <mergeCell ref="Q145:Q154"/>
    <mergeCell ref="R145:R154"/>
    <mergeCell ref="I148:I157"/>
    <mergeCell ref="J148:J157"/>
    <mergeCell ref="S148:S157"/>
    <mergeCell ref="T148:T157"/>
    <mergeCell ref="W140:W150"/>
    <mergeCell ref="X140:X150"/>
    <mergeCell ref="Y143:Y152"/>
    <mergeCell ref="Z143:Z152"/>
    <mergeCell ref="AA145:AA154"/>
    <mergeCell ref="AB145:AB154"/>
    <mergeCell ref="AC148:AC157"/>
    <mergeCell ref="AD148:AD157"/>
    <mergeCell ref="C128:L128"/>
    <mergeCell ref="M128:V128"/>
    <mergeCell ref="W128:AF128"/>
    <mergeCell ref="W96:AF96"/>
    <mergeCell ref="AG96:AP96"/>
    <mergeCell ref="AQ96:AZ96"/>
    <mergeCell ref="BA96:BJ96"/>
    <mergeCell ref="BK96:BT96"/>
    <mergeCell ref="C97:L97"/>
    <mergeCell ref="M97:V97"/>
    <mergeCell ref="W97:AF97"/>
    <mergeCell ref="AG97:AP97"/>
    <mergeCell ref="AQ97:AZ97"/>
    <mergeCell ref="BA97:BJ97"/>
    <mergeCell ref="BK97:BT97"/>
    <mergeCell ref="W66:AF66"/>
    <mergeCell ref="AG66:AP66"/>
    <mergeCell ref="AQ66:AZ66"/>
    <mergeCell ref="BA66:BJ66"/>
    <mergeCell ref="BK66:BT66"/>
    <mergeCell ref="W34:AF34"/>
    <mergeCell ref="AG34:AP34"/>
    <mergeCell ref="AQ65:AZ65"/>
    <mergeCell ref="AQ35:AZ35"/>
    <mergeCell ref="W35:AF35"/>
    <mergeCell ref="AG35:AP35"/>
    <mergeCell ref="BA34:BJ34"/>
    <mergeCell ref="BK34:BT34"/>
    <mergeCell ref="AY38:AY48"/>
    <mergeCell ref="AZ38:AZ48"/>
    <mergeCell ref="BI38:BI48"/>
    <mergeCell ref="BJ38:BJ48"/>
    <mergeCell ref="AQ47:AQ57"/>
    <mergeCell ref="AR47:AR57"/>
    <mergeCell ref="BA47:BA57"/>
    <mergeCell ref="BB47:BB57"/>
    <mergeCell ref="AS50:AS59"/>
    <mergeCell ref="AT50:AT59"/>
    <mergeCell ref="BC50:BC59"/>
    <mergeCell ref="W65:AF65"/>
    <mergeCell ref="AG65:AP65"/>
    <mergeCell ref="Q52:Q61"/>
    <mergeCell ref="R52:R61"/>
    <mergeCell ref="S55:S64"/>
    <mergeCell ref="T55:T64"/>
    <mergeCell ref="AL52:AL61"/>
    <mergeCell ref="AC55:AC64"/>
    <mergeCell ref="AD55:AD64"/>
    <mergeCell ref="AM55:AM64"/>
    <mergeCell ref="AN55:AN64"/>
    <mergeCell ref="W3:AF3"/>
    <mergeCell ref="AG3:AP3"/>
    <mergeCell ref="AQ3:AZ3"/>
    <mergeCell ref="BA3:BJ3"/>
    <mergeCell ref="BK3:BT3"/>
    <mergeCell ref="W4:AF4"/>
    <mergeCell ref="AG4:AP4"/>
    <mergeCell ref="AQ4:AZ4"/>
    <mergeCell ref="BA4:BJ4"/>
    <mergeCell ref="BK4:BT4"/>
    <mergeCell ref="B4:B5"/>
    <mergeCell ref="B35:B36"/>
    <mergeCell ref="B66:B67"/>
    <mergeCell ref="B97:B98"/>
    <mergeCell ref="B128:B129"/>
    <mergeCell ref="A3:A31"/>
    <mergeCell ref="B3:L3"/>
    <mergeCell ref="M3:V3"/>
    <mergeCell ref="C4:L4"/>
    <mergeCell ref="M4:V4"/>
    <mergeCell ref="A65:A93"/>
    <mergeCell ref="B65:L65"/>
    <mergeCell ref="M65:V65"/>
    <mergeCell ref="A34:A62"/>
    <mergeCell ref="B34:L34"/>
    <mergeCell ref="M34:V34"/>
    <mergeCell ref="A96:A124"/>
    <mergeCell ref="B96:L96"/>
    <mergeCell ref="M96:V96"/>
    <mergeCell ref="B127:L127"/>
    <mergeCell ref="M16:M26"/>
    <mergeCell ref="N16:N26"/>
    <mergeCell ref="O19:O28"/>
    <mergeCell ref="P19:P28"/>
    <mergeCell ref="Q21:Q30"/>
    <mergeCell ref="R21:R30"/>
    <mergeCell ref="S24:S33"/>
    <mergeCell ref="T24:T33"/>
    <mergeCell ref="A127:A157"/>
    <mergeCell ref="M127:V127"/>
    <mergeCell ref="V7:V17"/>
    <mergeCell ref="C16:C26"/>
    <mergeCell ref="D16:D26"/>
    <mergeCell ref="E19:E28"/>
    <mergeCell ref="F19:F28"/>
    <mergeCell ref="G21:G30"/>
    <mergeCell ref="H21:H30"/>
    <mergeCell ref="U69:U79"/>
    <mergeCell ref="V69:V79"/>
    <mergeCell ref="Q83:Q92"/>
    <mergeCell ref="R83:R92"/>
    <mergeCell ref="S86:S95"/>
    <mergeCell ref="T86:T95"/>
    <mergeCell ref="C66:L66"/>
    <mergeCell ref="M66:V66"/>
    <mergeCell ref="M35:V35"/>
    <mergeCell ref="C35:L35"/>
    <mergeCell ref="E143:E152"/>
    <mergeCell ref="BK109:BK119"/>
    <mergeCell ref="BL109:BL119"/>
    <mergeCell ref="BM112:BM121"/>
    <mergeCell ref="BN112:BN121"/>
    <mergeCell ref="BO114:BO123"/>
    <mergeCell ref="BP114:BP123"/>
    <mergeCell ref="BQ117:BQ126"/>
    <mergeCell ref="BR117:BR126"/>
    <mergeCell ref="AE131:AE141"/>
    <mergeCell ref="AF131:AF141"/>
    <mergeCell ref="AN117:AN126"/>
    <mergeCell ref="AY100:AY110"/>
    <mergeCell ref="AZ100:AZ110"/>
    <mergeCell ref="BI100:BI110"/>
    <mergeCell ref="AQ109:AQ119"/>
    <mergeCell ref="AR109:AR119"/>
    <mergeCell ref="BA109:BA119"/>
    <mergeCell ref="BB109:BB119"/>
    <mergeCell ref="AS112:AS121"/>
    <mergeCell ref="BG117:BG126"/>
    <mergeCell ref="BH117:BH126"/>
    <mergeCell ref="W127:AF127"/>
    <mergeCell ref="AG127:AP127"/>
    <mergeCell ref="AQ127:AZ127"/>
  </mergeCells>
  <conditionalFormatting sqref="B3:BT3 B34:BT34 B96:BT96 B127:BT127">
    <cfRule type="containsText" dxfId="1211" priority="4280" operator="containsText" text="DOM">
      <formula>NOT(ISERROR(SEARCH("DOM",B3)))</formula>
    </cfRule>
    <cfRule type="containsText" dxfId="1210" priority="4281" operator="containsText" text="SÁB">
      <formula>NOT(ISERROR(SEARCH("SÁB",B3)))</formula>
    </cfRule>
  </conditionalFormatting>
  <conditionalFormatting sqref="B65:BT65">
    <cfRule type="containsText" dxfId="1209" priority="4277" operator="containsText" text="SÁB">
      <formula>NOT(ISERROR(SEARCH("SÁB",B65)))</formula>
    </cfRule>
    <cfRule type="containsText" dxfId="1208" priority="4278" operator="containsText" text="DOM">
      <formula>NOT(ISERROR(SEARCH("DOM",B65)))</formula>
    </cfRule>
  </conditionalFormatting>
  <conditionalFormatting sqref="C16:D16 E18:E19 F19 G20:G21 H21 I23:J24 M16:N16 O19:P19 Q20:Q21 R21 S23:T24 K7 U7">
    <cfRule type="containsText" dxfId="1207" priority="4206" operator="containsText" text="5">
      <formula>NOT(ISERROR(SEARCH("5",C7)))</formula>
    </cfRule>
    <cfRule type="containsText" dxfId="1206" priority="4207" operator="containsText" text="3">
      <formula>NOT(ISERROR(SEARCH("3",C7)))</formula>
    </cfRule>
    <cfRule type="containsText" dxfId="1205" priority="4208" operator="containsText" text="10">
      <formula>NOT(ISERROR(SEARCH("10",C7)))</formula>
    </cfRule>
    <cfRule type="containsText" dxfId="1204" priority="4209" operator="containsText" text="8">
      <formula>NOT(ISERROR(SEARCH("8",C7)))</formula>
    </cfRule>
    <cfRule type="containsText" dxfId="1203" priority="4210" operator="containsText" text="7">
      <formula>NOT(ISERROR(SEARCH("7",C7)))</formula>
    </cfRule>
    <cfRule type="containsText" dxfId="1202" priority="4211" operator="containsText" text="4">
      <formula>NOT(ISERROR(SEARCH("4",C7)))</formula>
    </cfRule>
    <cfRule type="containsText" dxfId="1201" priority="4212" operator="containsText" text="2">
      <formula>NOT(ISERROR(SEARCH("2",C7)))</formula>
    </cfRule>
    <cfRule type="containsText" dxfId="1200" priority="4213" operator="containsText" text="1">
      <formula>NOT(ISERROR(SEARCH("1",C7)))</formula>
    </cfRule>
    <cfRule type="containsText" dxfId="1199" priority="4214" operator="containsText" text="6">
      <formula>NOT(ISERROR(SEARCH("6",C7)))</formula>
    </cfRule>
    <cfRule type="containsText" dxfId="1198" priority="4215" operator="containsText" text="5">
      <formula>NOT(ISERROR(SEARCH("5",C7)))</formula>
    </cfRule>
    <cfRule type="containsText" dxfId="1197" priority="4216" operator="containsText" text="9">
      <formula>NOT(ISERROR(SEARCH("9",C7)))</formula>
    </cfRule>
  </conditionalFormatting>
  <conditionalFormatting sqref="L7">
    <cfRule type="containsText" dxfId="1196" priority="4140" operator="containsText" text="5">
      <formula>NOT(ISERROR(SEARCH("5",L7)))</formula>
    </cfRule>
    <cfRule type="containsText" dxfId="1195" priority="4141" operator="containsText" text="3">
      <formula>NOT(ISERROR(SEARCH("3",L7)))</formula>
    </cfRule>
    <cfRule type="containsText" dxfId="1194" priority="4142" operator="containsText" text="10">
      <formula>NOT(ISERROR(SEARCH("10",L7)))</formula>
    </cfRule>
    <cfRule type="containsText" dxfId="1193" priority="4143" operator="containsText" text="8">
      <formula>NOT(ISERROR(SEARCH("8",L7)))</formula>
    </cfRule>
    <cfRule type="containsText" dxfId="1192" priority="4144" operator="containsText" text="7">
      <formula>NOT(ISERROR(SEARCH("7",L7)))</formula>
    </cfRule>
    <cfRule type="containsText" dxfId="1191" priority="4145" operator="containsText" text="4">
      <formula>NOT(ISERROR(SEARCH("4",L7)))</formula>
    </cfRule>
    <cfRule type="containsText" dxfId="1190" priority="4146" operator="containsText" text="2">
      <formula>NOT(ISERROR(SEARCH("2",L7)))</formula>
    </cfRule>
    <cfRule type="containsText" dxfId="1189" priority="4147" operator="containsText" text="1">
      <formula>NOT(ISERROR(SEARCH("1",L7)))</formula>
    </cfRule>
    <cfRule type="containsText" dxfId="1188" priority="4148" operator="containsText" text="6">
      <formula>NOT(ISERROR(SEARCH("6",L7)))</formula>
    </cfRule>
    <cfRule type="containsText" dxfId="1187" priority="4149" operator="containsText" text="5">
      <formula>NOT(ISERROR(SEARCH("5",L7)))</formula>
    </cfRule>
    <cfRule type="containsText" dxfId="1186" priority="4150" operator="containsText" text="9">
      <formula>NOT(ISERROR(SEARCH("9",L7)))</formula>
    </cfRule>
  </conditionalFormatting>
  <conditionalFormatting sqref="V7">
    <cfRule type="containsText" dxfId="1185" priority="4030" operator="containsText" text="5">
      <formula>NOT(ISERROR(SEARCH("5",V7)))</formula>
    </cfRule>
    <cfRule type="containsText" dxfId="1184" priority="4031" operator="containsText" text="3">
      <formula>NOT(ISERROR(SEARCH("3",V7)))</formula>
    </cfRule>
    <cfRule type="containsText" dxfId="1183" priority="4032" operator="containsText" text="10">
      <formula>NOT(ISERROR(SEARCH("10",V7)))</formula>
    </cfRule>
    <cfRule type="containsText" dxfId="1182" priority="4033" operator="containsText" text="8">
      <formula>NOT(ISERROR(SEARCH("8",V7)))</formula>
    </cfRule>
    <cfRule type="containsText" dxfId="1181" priority="4034" operator="containsText" text="7">
      <formula>NOT(ISERROR(SEARCH("7",V7)))</formula>
    </cfRule>
    <cfRule type="containsText" dxfId="1180" priority="4035" operator="containsText" text="4">
      <formula>NOT(ISERROR(SEARCH("4",V7)))</formula>
    </cfRule>
    <cfRule type="containsText" dxfId="1179" priority="4036" operator="containsText" text="2">
      <formula>NOT(ISERROR(SEARCH("2",V7)))</formula>
    </cfRule>
    <cfRule type="containsText" dxfId="1178" priority="4037" operator="containsText" text="1">
      <formula>NOT(ISERROR(SEARCH("1",V7)))</formula>
    </cfRule>
    <cfRule type="containsText" dxfId="1177" priority="4038" operator="containsText" text="6">
      <formula>NOT(ISERROR(SEARCH("6",V7)))</formula>
    </cfRule>
    <cfRule type="containsText" dxfId="1176" priority="4039" operator="containsText" text="5">
      <formula>NOT(ISERROR(SEARCH("5",V7)))</formula>
    </cfRule>
    <cfRule type="containsText" dxfId="1175" priority="4040" operator="containsText" text="9">
      <formula>NOT(ISERROR(SEARCH("9",V7)))</formula>
    </cfRule>
  </conditionalFormatting>
  <conditionalFormatting sqref="AQ16:AR16 AS18:AS19 AT19 AU20:AU21 AV21 AW23:AX24 BA16:BB16 BC19:BD19 BE20:BE21 BF21 BG23:BH24 AY7 BI7">
    <cfRule type="containsText" dxfId="1174" priority="539" operator="containsText" text="5">
      <formula>NOT(ISERROR(SEARCH("5",AQ7)))</formula>
    </cfRule>
    <cfRule type="containsText" dxfId="1173" priority="540" operator="containsText" text="3">
      <formula>NOT(ISERROR(SEARCH("3",AQ7)))</formula>
    </cfRule>
    <cfRule type="containsText" dxfId="1172" priority="541" operator="containsText" text="10">
      <formula>NOT(ISERROR(SEARCH("10",AQ7)))</formula>
    </cfRule>
    <cfRule type="containsText" dxfId="1171" priority="542" operator="containsText" text="8">
      <formula>NOT(ISERROR(SEARCH("8",AQ7)))</formula>
    </cfRule>
    <cfRule type="containsText" dxfId="1170" priority="543" operator="containsText" text="7">
      <formula>NOT(ISERROR(SEARCH("7",AQ7)))</formula>
    </cfRule>
    <cfRule type="containsText" dxfId="1169" priority="544" operator="containsText" text="4">
      <formula>NOT(ISERROR(SEARCH("4",AQ7)))</formula>
    </cfRule>
    <cfRule type="containsText" dxfId="1168" priority="545" operator="containsText" text="2">
      <formula>NOT(ISERROR(SEARCH("2",AQ7)))</formula>
    </cfRule>
    <cfRule type="containsText" dxfId="1167" priority="546" operator="containsText" text="1">
      <formula>NOT(ISERROR(SEARCH("1",AQ7)))</formula>
    </cfRule>
    <cfRule type="containsText" dxfId="1166" priority="547" operator="containsText" text="6">
      <formula>NOT(ISERROR(SEARCH("6",AQ7)))</formula>
    </cfRule>
    <cfRule type="containsText" dxfId="1165" priority="548" operator="containsText" text="5">
      <formula>NOT(ISERROR(SEARCH("5",AQ7)))</formula>
    </cfRule>
    <cfRule type="containsText" dxfId="1164" priority="549" operator="containsText" text="9">
      <formula>NOT(ISERROR(SEARCH("9",AQ7)))</formula>
    </cfRule>
  </conditionalFormatting>
  <conditionalFormatting sqref="AZ7">
    <cfRule type="containsText" dxfId="1163" priority="528" operator="containsText" text="5">
      <formula>NOT(ISERROR(SEARCH("5",AZ7)))</formula>
    </cfRule>
    <cfRule type="containsText" dxfId="1162" priority="529" operator="containsText" text="3">
      <formula>NOT(ISERROR(SEARCH("3",AZ7)))</formula>
    </cfRule>
    <cfRule type="containsText" dxfId="1161" priority="530" operator="containsText" text="10">
      <formula>NOT(ISERROR(SEARCH("10",AZ7)))</formula>
    </cfRule>
    <cfRule type="containsText" dxfId="1160" priority="531" operator="containsText" text="8">
      <formula>NOT(ISERROR(SEARCH("8",AZ7)))</formula>
    </cfRule>
    <cfRule type="containsText" dxfId="1159" priority="532" operator="containsText" text="7">
      <formula>NOT(ISERROR(SEARCH("7",AZ7)))</formula>
    </cfRule>
    <cfRule type="containsText" dxfId="1158" priority="533" operator="containsText" text="4">
      <formula>NOT(ISERROR(SEARCH("4",AZ7)))</formula>
    </cfRule>
    <cfRule type="containsText" dxfId="1157" priority="534" operator="containsText" text="2">
      <formula>NOT(ISERROR(SEARCH("2",AZ7)))</formula>
    </cfRule>
    <cfRule type="containsText" dxfId="1156" priority="535" operator="containsText" text="1">
      <formula>NOT(ISERROR(SEARCH("1",AZ7)))</formula>
    </cfRule>
    <cfRule type="containsText" dxfId="1155" priority="536" operator="containsText" text="6">
      <formula>NOT(ISERROR(SEARCH("6",AZ7)))</formula>
    </cfRule>
    <cfRule type="containsText" dxfId="1154" priority="537" operator="containsText" text="5">
      <formula>NOT(ISERROR(SEARCH("5",AZ7)))</formula>
    </cfRule>
    <cfRule type="containsText" dxfId="1153" priority="538" operator="containsText" text="9">
      <formula>NOT(ISERROR(SEARCH("9",AZ7)))</formula>
    </cfRule>
  </conditionalFormatting>
  <conditionalFormatting sqref="BJ7">
    <cfRule type="containsText" dxfId="1152" priority="517" operator="containsText" text="5">
      <formula>NOT(ISERROR(SEARCH("5",BJ7)))</formula>
    </cfRule>
    <cfRule type="containsText" dxfId="1151" priority="518" operator="containsText" text="3">
      <formula>NOT(ISERROR(SEARCH("3",BJ7)))</formula>
    </cfRule>
    <cfRule type="containsText" dxfId="1150" priority="519" operator="containsText" text="10">
      <formula>NOT(ISERROR(SEARCH("10",BJ7)))</formula>
    </cfRule>
    <cfRule type="containsText" dxfId="1149" priority="520" operator="containsText" text="8">
      <formula>NOT(ISERROR(SEARCH("8",BJ7)))</formula>
    </cfRule>
    <cfRule type="containsText" dxfId="1148" priority="521" operator="containsText" text="7">
      <formula>NOT(ISERROR(SEARCH("7",BJ7)))</formula>
    </cfRule>
    <cfRule type="containsText" dxfId="1147" priority="522" operator="containsText" text="4">
      <formula>NOT(ISERROR(SEARCH("4",BJ7)))</formula>
    </cfRule>
    <cfRule type="containsText" dxfId="1146" priority="523" operator="containsText" text="2">
      <formula>NOT(ISERROR(SEARCH("2",BJ7)))</formula>
    </cfRule>
    <cfRule type="containsText" dxfId="1145" priority="524" operator="containsText" text="1">
      <formula>NOT(ISERROR(SEARCH("1",BJ7)))</formula>
    </cfRule>
    <cfRule type="containsText" dxfId="1144" priority="525" operator="containsText" text="6">
      <formula>NOT(ISERROR(SEARCH("6",BJ7)))</formula>
    </cfRule>
    <cfRule type="containsText" dxfId="1143" priority="526" operator="containsText" text="5">
      <formula>NOT(ISERROR(SEARCH("5",BJ7)))</formula>
    </cfRule>
    <cfRule type="containsText" dxfId="1142" priority="527" operator="containsText" text="9">
      <formula>NOT(ISERROR(SEARCH("9",BJ7)))</formula>
    </cfRule>
  </conditionalFormatting>
  <conditionalFormatting sqref="C47:D47 E49:E50 F50 G51:G52 H52 I54:J55 M47:N47 O50:P50 Q51:Q52 R52 S54:T55 K38 U38">
    <cfRule type="containsText" dxfId="1141" priority="506" operator="containsText" text="5">
      <formula>NOT(ISERROR(SEARCH("5",C38)))</formula>
    </cfRule>
    <cfRule type="containsText" dxfId="1140" priority="507" operator="containsText" text="3">
      <formula>NOT(ISERROR(SEARCH("3",C38)))</formula>
    </cfRule>
    <cfRule type="containsText" dxfId="1139" priority="508" operator="containsText" text="10">
      <formula>NOT(ISERROR(SEARCH("10",C38)))</formula>
    </cfRule>
    <cfRule type="containsText" dxfId="1138" priority="509" operator="containsText" text="8">
      <formula>NOT(ISERROR(SEARCH("8",C38)))</formula>
    </cfRule>
    <cfRule type="containsText" dxfId="1137" priority="510" operator="containsText" text="7">
      <formula>NOT(ISERROR(SEARCH("7",C38)))</formula>
    </cfRule>
    <cfRule type="containsText" dxfId="1136" priority="511" operator="containsText" text="4">
      <formula>NOT(ISERROR(SEARCH("4",C38)))</formula>
    </cfRule>
    <cfRule type="containsText" dxfId="1135" priority="512" operator="containsText" text="2">
      <formula>NOT(ISERROR(SEARCH("2",C38)))</formula>
    </cfRule>
    <cfRule type="containsText" dxfId="1134" priority="513" operator="containsText" text="1">
      <formula>NOT(ISERROR(SEARCH("1",C38)))</formula>
    </cfRule>
    <cfRule type="containsText" dxfId="1133" priority="514" operator="containsText" text="6">
      <formula>NOT(ISERROR(SEARCH("6",C38)))</formula>
    </cfRule>
    <cfRule type="containsText" dxfId="1132" priority="515" operator="containsText" text="5">
      <formula>NOT(ISERROR(SEARCH("5",C38)))</formula>
    </cfRule>
    <cfRule type="containsText" dxfId="1131" priority="516" operator="containsText" text="9">
      <formula>NOT(ISERROR(SEARCH("9",C38)))</formula>
    </cfRule>
  </conditionalFormatting>
  <conditionalFormatting sqref="L38">
    <cfRule type="containsText" dxfId="1130" priority="495" operator="containsText" text="5">
      <formula>NOT(ISERROR(SEARCH("5",L38)))</formula>
    </cfRule>
    <cfRule type="containsText" dxfId="1129" priority="496" operator="containsText" text="3">
      <formula>NOT(ISERROR(SEARCH("3",L38)))</formula>
    </cfRule>
    <cfRule type="containsText" dxfId="1128" priority="497" operator="containsText" text="10">
      <formula>NOT(ISERROR(SEARCH("10",L38)))</formula>
    </cfRule>
    <cfRule type="containsText" dxfId="1127" priority="498" operator="containsText" text="8">
      <formula>NOT(ISERROR(SEARCH("8",L38)))</formula>
    </cfRule>
    <cfRule type="containsText" dxfId="1126" priority="499" operator="containsText" text="7">
      <formula>NOT(ISERROR(SEARCH("7",L38)))</formula>
    </cfRule>
    <cfRule type="containsText" dxfId="1125" priority="500" operator="containsText" text="4">
      <formula>NOT(ISERROR(SEARCH("4",L38)))</formula>
    </cfRule>
    <cfRule type="containsText" dxfId="1124" priority="501" operator="containsText" text="2">
      <formula>NOT(ISERROR(SEARCH("2",L38)))</formula>
    </cfRule>
    <cfRule type="containsText" dxfId="1123" priority="502" operator="containsText" text="1">
      <formula>NOT(ISERROR(SEARCH("1",L38)))</formula>
    </cfRule>
    <cfRule type="containsText" dxfId="1122" priority="503" operator="containsText" text="6">
      <formula>NOT(ISERROR(SEARCH("6",L38)))</formula>
    </cfRule>
    <cfRule type="containsText" dxfId="1121" priority="504" operator="containsText" text="5">
      <formula>NOT(ISERROR(SEARCH("5",L38)))</formula>
    </cfRule>
    <cfRule type="containsText" dxfId="1120" priority="505" operator="containsText" text="9">
      <formula>NOT(ISERROR(SEARCH("9",L38)))</formula>
    </cfRule>
  </conditionalFormatting>
  <conditionalFormatting sqref="V38">
    <cfRule type="containsText" dxfId="1119" priority="484" operator="containsText" text="5">
      <formula>NOT(ISERROR(SEARCH("5",V38)))</formula>
    </cfRule>
    <cfRule type="containsText" dxfId="1118" priority="485" operator="containsText" text="3">
      <formula>NOT(ISERROR(SEARCH("3",V38)))</formula>
    </cfRule>
    <cfRule type="containsText" dxfId="1117" priority="486" operator="containsText" text="10">
      <formula>NOT(ISERROR(SEARCH("10",V38)))</formula>
    </cfRule>
    <cfRule type="containsText" dxfId="1116" priority="487" operator="containsText" text="8">
      <formula>NOT(ISERROR(SEARCH("8",V38)))</formula>
    </cfRule>
    <cfRule type="containsText" dxfId="1115" priority="488" operator="containsText" text="7">
      <formula>NOT(ISERROR(SEARCH("7",V38)))</formula>
    </cfRule>
    <cfRule type="containsText" dxfId="1114" priority="489" operator="containsText" text="4">
      <formula>NOT(ISERROR(SEARCH("4",V38)))</formula>
    </cfRule>
    <cfRule type="containsText" dxfId="1113" priority="490" operator="containsText" text="2">
      <formula>NOT(ISERROR(SEARCH("2",V38)))</formula>
    </cfRule>
    <cfRule type="containsText" dxfId="1112" priority="491" operator="containsText" text="1">
      <formula>NOT(ISERROR(SEARCH("1",V38)))</formula>
    </cfRule>
    <cfRule type="containsText" dxfId="1111" priority="492" operator="containsText" text="6">
      <formula>NOT(ISERROR(SEARCH("6",V38)))</formula>
    </cfRule>
    <cfRule type="containsText" dxfId="1110" priority="493" operator="containsText" text="5">
      <formula>NOT(ISERROR(SEARCH("5",V38)))</formula>
    </cfRule>
    <cfRule type="containsText" dxfId="1109" priority="494" operator="containsText" text="9">
      <formula>NOT(ISERROR(SEARCH("9",V38)))</formula>
    </cfRule>
  </conditionalFormatting>
  <conditionalFormatting sqref="W47:X47 Y49:Y50 Z50 AA51:AA52 AB52 AC54:AD55 AG47:AH47 AI50:AJ50 AK51:AK52 AL52 AM54:AN55 AE38 AO38">
    <cfRule type="containsText" dxfId="1108" priority="473" operator="containsText" text="5">
      <formula>NOT(ISERROR(SEARCH("5",W38)))</formula>
    </cfRule>
    <cfRule type="containsText" dxfId="1107" priority="474" operator="containsText" text="3">
      <formula>NOT(ISERROR(SEARCH("3",W38)))</formula>
    </cfRule>
    <cfRule type="containsText" dxfId="1106" priority="475" operator="containsText" text="10">
      <formula>NOT(ISERROR(SEARCH("10",W38)))</formula>
    </cfRule>
    <cfRule type="containsText" dxfId="1105" priority="476" operator="containsText" text="8">
      <formula>NOT(ISERROR(SEARCH("8",W38)))</formula>
    </cfRule>
    <cfRule type="containsText" dxfId="1104" priority="477" operator="containsText" text="7">
      <formula>NOT(ISERROR(SEARCH("7",W38)))</formula>
    </cfRule>
    <cfRule type="containsText" dxfId="1103" priority="478" operator="containsText" text="4">
      <formula>NOT(ISERROR(SEARCH("4",W38)))</formula>
    </cfRule>
    <cfRule type="containsText" dxfId="1102" priority="479" operator="containsText" text="2">
      <formula>NOT(ISERROR(SEARCH("2",W38)))</formula>
    </cfRule>
    <cfRule type="containsText" dxfId="1101" priority="480" operator="containsText" text="1">
      <formula>NOT(ISERROR(SEARCH("1",W38)))</formula>
    </cfRule>
    <cfRule type="containsText" dxfId="1100" priority="481" operator="containsText" text="6">
      <formula>NOT(ISERROR(SEARCH("6",W38)))</formula>
    </cfRule>
    <cfRule type="containsText" dxfId="1099" priority="482" operator="containsText" text="5">
      <formula>NOT(ISERROR(SEARCH("5",W38)))</formula>
    </cfRule>
    <cfRule type="containsText" dxfId="1098" priority="483" operator="containsText" text="9">
      <formula>NOT(ISERROR(SEARCH("9",W38)))</formula>
    </cfRule>
  </conditionalFormatting>
  <conditionalFormatting sqref="AF38">
    <cfRule type="containsText" dxfId="1097" priority="462" operator="containsText" text="5">
      <formula>NOT(ISERROR(SEARCH("5",AF38)))</formula>
    </cfRule>
    <cfRule type="containsText" dxfId="1096" priority="463" operator="containsText" text="3">
      <formula>NOT(ISERROR(SEARCH("3",AF38)))</formula>
    </cfRule>
    <cfRule type="containsText" dxfId="1095" priority="464" operator="containsText" text="10">
      <formula>NOT(ISERROR(SEARCH("10",AF38)))</formula>
    </cfRule>
    <cfRule type="containsText" dxfId="1094" priority="465" operator="containsText" text="8">
      <formula>NOT(ISERROR(SEARCH("8",AF38)))</formula>
    </cfRule>
    <cfRule type="containsText" dxfId="1093" priority="466" operator="containsText" text="7">
      <formula>NOT(ISERROR(SEARCH("7",AF38)))</formula>
    </cfRule>
    <cfRule type="containsText" dxfId="1092" priority="467" operator="containsText" text="4">
      <formula>NOT(ISERROR(SEARCH("4",AF38)))</formula>
    </cfRule>
    <cfRule type="containsText" dxfId="1091" priority="468" operator="containsText" text="2">
      <formula>NOT(ISERROR(SEARCH("2",AF38)))</formula>
    </cfRule>
    <cfRule type="containsText" dxfId="1090" priority="469" operator="containsText" text="1">
      <formula>NOT(ISERROR(SEARCH("1",AF38)))</formula>
    </cfRule>
    <cfRule type="containsText" dxfId="1089" priority="470" operator="containsText" text="6">
      <formula>NOT(ISERROR(SEARCH("6",AF38)))</formula>
    </cfRule>
    <cfRule type="containsText" dxfId="1088" priority="471" operator="containsText" text="5">
      <formula>NOT(ISERROR(SEARCH("5",AF38)))</formula>
    </cfRule>
    <cfRule type="containsText" dxfId="1087" priority="472" operator="containsText" text="9">
      <formula>NOT(ISERROR(SEARCH("9",AF38)))</formula>
    </cfRule>
  </conditionalFormatting>
  <conditionalFormatting sqref="AP38">
    <cfRule type="containsText" dxfId="1086" priority="451" operator="containsText" text="5">
      <formula>NOT(ISERROR(SEARCH("5",AP38)))</formula>
    </cfRule>
    <cfRule type="containsText" dxfId="1085" priority="452" operator="containsText" text="3">
      <formula>NOT(ISERROR(SEARCH("3",AP38)))</formula>
    </cfRule>
    <cfRule type="containsText" dxfId="1084" priority="453" operator="containsText" text="10">
      <formula>NOT(ISERROR(SEARCH("10",AP38)))</formula>
    </cfRule>
    <cfRule type="containsText" dxfId="1083" priority="454" operator="containsText" text="8">
      <formula>NOT(ISERROR(SEARCH("8",AP38)))</formula>
    </cfRule>
    <cfRule type="containsText" dxfId="1082" priority="455" operator="containsText" text="7">
      <formula>NOT(ISERROR(SEARCH("7",AP38)))</formula>
    </cfRule>
    <cfRule type="containsText" dxfId="1081" priority="456" operator="containsText" text="4">
      <formula>NOT(ISERROR(SEARCH("4",AP38)))</formula>
    </cfRule>
    <cfRule type="containsText" dxfId="1080" priority="457" operator="containsText" text="2">
      <formula>NOT(ISERROR(SEARCH("2",AP38)))</formula>
    </cfRule>
    <cfRule type="containsText" dxfId="1079" priority="458" operator="containsText" text="1">
      <formula>NOT(ISERROR(SEARCH("1",AP38)))</formula>
    </cfRule>
    <cfRule type="containsText" dxfId="1078" priority="459" operator="containsText" text="6">
      <formula>NOT(ISERROR(SEARCH("6",AP38)))</formula>
    </cfRule>
    <cfRule type="containsText" dxfId="1077" priority="460" operator="containsText" text="5">
      <formula>NOT(ISERROR(SEARCH("5",AP38)))</formula>
    </cfRule>
    <cfRule type="containsText" dxfId="1076" priority="461" operator="containsText" text="9">
      <formula>NOT(ISERROR(SEARCH("9",AP38)))</formula>
    </cfRule>
  </conditionalFormatting>
  <conditionalFormatting sqref="AQ47:AR47 AS49:AS50 AT50 AU51:AU52 AV52 AW54:AX55 BA47:BB47 BC50:BD50 BE51:BE52 BF52 BG54:BH55 AY38 BI38">
    <cfRule type="containsText" dxfId="1075" priority="440" operator="containsText" text="5">
      <formula>NOT(ISERROR(SEARCH("5",AQ38)))</formula>
    </cfRule>
    <cfRule type="containsText" dxfId="1074" priority="441" operator="containsText" text="3">
      <formula>NOT(ISERROR(SEARCH("3",AQ38)))</formula>
    </cfRule>
    <cfRule type="containsText" dxfId="1073" priority="442" operator="containsText" text="10">
      <formula>NOT(ISERROR(SEARCH("10",AQ38)))</formula>
    </cfRule>
    <cfRule type="containsText" dxfId="1072" priority="443" operator="containsText" text="8">
      <formula>NOT(ISERROR(SEARCH("8",AQ38)))</formula>
    </cfRule>
    <cfRule type="containsText" dxfId="1071" priority="444" operator="containsText" text="7">
      <formula>NOT(ISERROR(SEARCH("7",AQ38)))</formula>
    </cfRule>
    <cfRule type="containsText" dxfId="1070" priority="445" operator="containsText" text="4">
      <formula>NOT(ISERROR(SEARCH("4",AQ38)))</formula>
    </cfRule>
    <cfRule type="containsText" dxfId="1069" priority="446" operator="containsText" text="2">
      <formula>NOT(ISERROR(SEARCH("2",AQ38)))</formula>
    </cfRule>
    <cfRule type="containsText" dxfId="1068" priority="447" operator="containsText" text="1">
      <formula>NOT(ISERROR(SEARCH("1",AQ38)))</formula>
    </cfRule>
    <cfRule type="containsText" dxfId="1067" priority="448" operator="containsText" text="6">
      <formula>NOT(ISERROR(SEARCH("6",AQ38)))</formula>
    </cfRule>
    <cfRule type="containsText" dxfId="1066" priority="449" operator="containsText" text="5">
      <formula>NOT(ISERROR(SEARCH("5",AQ38)))</formula>
    </cfRule>
    <cfRule type="containsText" dxfId="1065" priority="450" operator="containsText" text="9">
      <formula>NOT(ISERROR(SEARCH("9",AQ38)))</formula>
    </cfRule>
  </conditionalFormatting>
  <conditionalFormatting sqref="AZ38">
    <cfRule type="containsText" dxfId="1064" priority="429" operator="containsText" text="5">
      <formula>NOT(ISERROR(SEARCH("5",AZ38)))</formula>
    </cfRule>
    <cfRule type="containsText" dxfId="1063" priority="430" operator="containsText" text="3">
      <formula>NOT(ISERROR(SEARCH("3",AZ38)))</formula>
    </cfRule>
    <cfRule type="containsText" dxfId="1062" priority="431" operator="containsText" text="10">
      <formula>NOT(ISERROR(SEARCH("10",AZ38)))</formula>
    </cfRule>
    <cfRule type="containsText" dxfId="1061" priority="432" operator="containsText" text="8">
      <formula>NOT(ISERROR(SEARCH("8",AZ38)))</formula>
    </cfRule>
    <cfRule type="containsText" dxfId="1060" priority="433" operator="containsText" text="7">
      <formula>NOT(ISERROR(SEARCH("7",AZ38)))</formula>
    </cfRule>
    <cfRule type="containsText" dxfId="1059" priority="434" operator="containsText" text="4">
      <formula>NOT(ISERROR(SEARCH("4",AZ38)))</formula>
    </cfRule>
    <cfRule type="containsText" dxfId="1058" priority="435" operator="containsText" text="2">
      <formula>NOT(ISERROR(SEARCH("2",AZ38)))</formula>
    </cfRule>
    <cfRule type="containsText" dxfId="1057" priority="436" operator="containsText" text="1">
      <formula>NOT(ISERROR(SEARCH("1",AZ38)))</formula>
    </cfRule>
    <cfRule type="containsText" dxfId="1056" priority="437" operator="containsText" text="6">
      <formula>NOT(ISERROR(SEARCH("6",AZ38)))</formula>
    </cfRule>
    <cfRule type="containsText" dxfId="1055" priority="438" operator="containsText" text="5">
      <formula>NOT(ISERROR(SEARCH("5",AZ38)))</formula>
    </cfRule>
    <cfRule type="containsText" dxfId="1054" priority="439" operator="containsText" text="9">
      <formula>NOT(ISERROR(SEARCH("9",AZ38)))</formula>
    </cfRule>
  </conditionalFormatting>
  <conditionalFormatting sqref="BJ38">
    <cfRule type="containsText" dxfId="1053" priority="418" operator="containsText" text="5">
      <formula>NOT(ISERROR(SEARCH("5",BJ38)))</formula>
    </cfRule>
    <cfRule type="containsText" dxfId="1052" priority="419" operator="containsText" text="3">
      <formula>NOT(ISERROR(SEARCH("3",BJ38)))</formula>
    </cfRule>
    <cfRule type="containsText" dxfId="1051" priority="420" operator="containsText" text="10">
      <formula>NOT(ISERROR(SEARCH("10",BJ38)))</formula>
    </cfRule>
    <cfRule type="containsText" dxfId="1050" priority="421" operator="containsText" text="8">
      <formula>NOT(ISERROR(SEARCH("8",BJ38)))</formula>
    </cfRule>
    <cfRule type="containsText" dxfId="1049" priority="422" operator="containsText" text="7">
      <formula>NOT(ISERROR(SEARCH("7",BJ38)))</formula>
    </cfRule>
    <cfRule type="containsText" dxfId="1048" priority="423" operator="containsText" text="4">
      <formula>NOT(ISERROR(SEARCH("4",BJ38)))</formula>
    </cfRule>
    <cfRule type="containsText" dxfId="1047" priority="424" operator="containsText" text="2">
      <formula>NOT(ISERROR(SEARCH("2",BJ38)))</formula>
    </cfRule>
    <cfRule type="containsText" dxfId="1046" priority="425" operator="containsText" text="1">
      <formula>NOT(ISERROR(SEARCH("1",BJ38)))</formula>
    </cfRule>
    <cfRule type="containsText" dxfId="1045" priority="426" operator="containsText" text="6">
      <formula>NOT(ISERROR(SEARCH("6",BJ38)))</formula>
    </cfRule>
    <cfRule type="containsText" dxfId="1044" priority="427" operator="containsText" text="5">
      <formula>NOT(ISERROR(SEARCH("5",BJ38)))</formula>
    </cfRule>
    <cfRule type="containsText" dxfId="1043" priority="428" operator="containsText" text="9">
      <formula>NOT(ISERROR(SEARCH("9",BJ38)))</formula>
    </cfRule>
  </conditionalFormatting>
  <conditionalFormatting sqref="C78:D78 E80:E81 F81 G82:G83 H83 I85:J86 M78:N78 O81:P81 Q82:Q83 R83 S85:T86 K69 U69">
    <cfRule type="containsText" dxfId="1042" priority="407" operator="containsText" text="5">
      <formula>NOT(ISERROR(SEARCH("5",C69)))</formula>
    </cfRule>
    <cfRule type="containsText" dxfId="1041" priority="408" operator="containsText" text="3">
      <formula>NOT(ISERROR(SEARCH("3",C69)))</formula>
    </cfRule>
    <cfRule type="containsText" dxfId="1040" priority="409" operator="containsText" text="10">
      <formula>NOT(ISERROR(SEARCH("10",C69)))</formula>
    </cfRule>
    <cfRule type="containsText" dxfId="1039" priority="410" operator="containsText" text="8">
      <formula>NOT(ISERROR(SEARCH("8",C69)))</formula>
    </cfRule>
    <cfRule type="containsText" dxfId="1038" priority="411" operator="containsText" text="7">
      <formula>NOT(ISERROR(SEARCH("7",C69)))</formula>
    </cfRule>
    <cfRule type="containsText" dxfId="1037" priority="412" operator="containsText" text="4">
      <formula>NOT(ISERROR(SEARCH("4",C69)))</formula>
    </cfRule>
    <cfRule type="containsText" dxfId="1036" priority="413" operator="containsText" text="2">
      <formula>NOT(ISERROR(SEARCH("2",C69)))</formula>
    </cfRule>
    <cfRule type="containsText" dxfId="1035" priority="414" operator="containsText" text="1">
      <formula>NOT(ISERROR(SEARCH("1",C69)))</formula>
    </cfRule>
    <cfRule type="containsText" dxfId="1034" priority="415" operator="containsText" text="6">
      <formula>NOT(ISERROR(SEARCH("6",C69)))</formula>
    </cfRule>
    <cfRule type="containsText" dxfId="1033" priority="416" operator="containsText" text="5">
      <formula>NOT(ISERROR(SEARCH("5",C69)))</formula>
    </cfRule>
    <cfRule type="containsText" dxfId="1032" priority="417" operator="containsText" text="9">
      <formula>NOT(ISERROR(SEARCH("9",C69)))</formula>
    </cfRule>
  </conditionalFormatting>
  <conditionalFormatting sqref="L69">
    <cfRule type="containsText" dxfId="1031" priority="396" operator="containsText" text="5">
      <formula>NOT(ISERROR(SEARCH("5",L69)))</formula>
    </cfRule>
    <cfRule type="containsText" dxfId="1030" priority="397" operator="containsText" text="3">
      <formula>NOT(ISERROR(SEARCH("3",L69)))</formula>
    </cfRule>
    <cfRule type="containsText" dxfId="1029" priority="398" operator="containsText" text="10">
      <formula>NOT(ISERROR(SEARCH("10",L69)))</formula>
    </cfRule>
    <cfRule type="containsText" dxfId="1028" priority="399" operator="containsText" text="8">
      <formula>NOT(ISERROR(SEARCH("8",L69)))</formula>
    </cfRule>
    <cfRule type="containsText" dxfId="1027" priority="400" operator="containsText" text="7">
      <formula>NOT(ISERROR(SEARCH("7",L69)))</formula>
    </cfRule>
    <cfRule type="containsText" dxfId="1026" priority="401" operator="containsText" text="4">
      <formula>NOT(ISERROR(SEARCH("4",L69)))</formula>
    </cfRule>
    <cfRule type="containsText" dxfId="1025" priority="402" operator="containsText" text="2">
      <formula>NOT(ISERROR(SEARCH("2",L69)))</formula>
    </cfRule>
    <cfRule type="containsText" dxfId="1024" priority="403" operator="containsText" text="1">
      <formula>NOT(ISERROR(SEARCH("1",L69)))</formula>
    </cfRule>
    <cfRule type="containsText" dxfId="1023" priority="404" operator="containsText" text="6">
      <formula>NOT(ISERROR(SEARCH("6",L69)))</formula>
    </cfRule>
    <cfRule type="containsText" dxfId="1022" priority="405" operator="containsText" text="5">
      <formula>NOT(ISERROR(SEARCH("5",L69)))</formula>
    </cfRule>
    <cfRule type="containsText" dxfId="1021" priority="406" operator="containsText" text="9">
      <formula>NOT(ISERROR(SEARCH("9",L69)))</formula>
    </cfRule>
  </conditionalFormatting>
  <conditionalFormatting sqref="V69">
    <cfRule type="containsText" dxfId="1020" priority="385" operator="containsText" text="5">
      <formula>NOT(ISERROR(SEARCH("5",V69)))</formula>
    </cfRule>
    <cfRule type="containsText" dxfId="1019" priority="386" operator="containsText" text="3">
      <formula>NOT(ISERROR(SEARCH("3",V69)))</formula>
    </cfRule>
    <cfRule type="containsText" dxfId="1018" priority="387" operator="containsText" text="10">
      <formula>NOT(ISERROR(SEARCH("10",V69)))</formula>
    </cfRule>
    <cfRule type="containsText" dxfId="1017" priority="388" operator="containsText" text="8">
      <formula>NOT(ISERROR(SEARCH("8",V69)))</formula>
    </cfRule>
    <cfRule type="containsText" dxfId="1016" priority="389" operator="containsText" text="7">
      <formula>NOT(ISERROR(SEARCH("7",V69)))</formula>
    </cfRule>
    <cfRule type="containsText" dxfId="1015" priority="390" operator="containsText" text="4">
      <formula>NOT(ISERROR(SEARCH("4",V69)))</formula>
    </cfRule>
    <cfRule type="containsText" dxfId="1014" priority="391" operator="containsText" text="2">
      <formula>NOT(ISERROR(SEARCH("2",V69)))</formula>
    </cfRule>
    <cfRule type="containsText" dxfId="1013" priority="392" operator="containsText" text="1">
      <formula>NOT(ISERROR(SEARCH("1",V69)))</formula>
    </cfRule>
    <cfRule type="containsText" dxfId="1012" priority="393" operator="containsText" text="6">
      <formula>NOT(ISERROR(SEARCH("6",V69)))</formula>
    </cfRule>
    <cfRule type="containsText" dxfId="1011" priority="394" operator="containsText" text="5">
      <formula>NOT(ISERROR(SEARCH("5",V69)))</formula>
    </cfRule>
    <cfRule type="containsText" dxfId="1010" priority="395" operator="containsText" text="9">
      <formula>NOT(ISERROR(SEARCH("9",V69)))</formula>
    </cfRule>
  </conditionalFormatting>
  <conditionalFormatting sqref="W78:X78 Y80:Y81 Z81 AA82:AA83 AB83 AC85:AD86 AG78:AH78 AI81:AJ81 AK82:AK83 AL83 AM85:AN86 AE69 AO69">
    <cfRule type="containsText" dxfId="1009" priority="374" operator="containsText" text="5">
      <formula>NOT(ISERROR(SEARCH("5",W69)))</formula>
    </cfRule>
    <cfRule type="containsText" dxfId="1008" priority="375" operator="containsText" text="3">
      <formula>NOT(ISERROR(SEARCH("3",W69)))</formula>
    </cfRule>
    <cfRule type="containsText" dxfId="1007" priority="376" operator="containsText" text="10">
      <formula>NOT(ISERROR(SEARCH("10",W69)))</formula>
    </cfRule>
    <cfRule type="containsText" dxfId="1006" priority="377" operator="containsText" text="8">
      <formula>NOT(ISERROR(SEARCH("8",W69)))</formula>
    </cfRule>
    <cfRule type="containsText" dxfId="1005" priority="378" operator="containsText" text="7">
      <formula>NOT(ISERROR(SEARCH("7",W69)))</formula>
    </cfRule>
    <cfRule type="containsText" dxfId="1004" priority="379" operator="containsText" text="4">
      <formula>NOT(ISERROR(SEARCH("4",W69)))</formula>
    </cfRule>
    <cfRule type="containsText" dxfId="1003" priority="380" operator="containsText" text="2">
      <formula>NOT(ISERROR(SEARCH("2",W69)))</formula>
    </cfRule>
    <cfRule type="containsText" dxfId="1002" priority="381" operator="containsText" text="1">
      <formula>NOT(ISERROR(SEARCH("1",W69)))</formula>
    </cfRule>
    <cfRule type="containsText" dxfId="1001" priority="382" operator="containsText" text="6">
      <formula>NOT(ISERROR(SEARCH("6",W69)))</formula>
    </cfRule>
    <cfRule type="containsText" dxfId="1000" priority="383" operator="containsText" text="5">
      <formula>NOT(ISERROR(SEARCH("5",W69)))</formula>
    </cfRule>
    <cfRule type="containsText" dxfId="999" priority="384" operator="containsText" text="9">
      <formula>NOT(ISERROR(SEARCH("9",W69)))</formula>
    </cfRule>
  </conditionalFormatting>
  <conditionalFormatting sqref="AF69">
    <cfRule type="containsText" dxfId="998" priority="363" operator="containsText" text="5">
      <formula>NOT(ISERROR(SEARCH("5",AF69)))</formula>
    </cfRule>
    <cfRule type="containsText" dxfId="997" priority="364" operator="containsText" text="3">
      <formula>NOT(ISERROR(SEARCH("3",AF69)))</formula>
    </cfRule>
    <cfRule type="containsText" dxfId="996" priority="365" operator="containsText" text="10">
      <formula>NOT(ISERROR(SEARCH("10",AF69)))</formula>
    </cfRule>
    <cfRule type="containsText" dxfId="995" priority="366" operator="containsText" text="8">
      <formula>NOT(ISERROR(SEARCH("8",AF69)))</formula>
    </cfRule>
    <cfRule type="containsText" dxfId="994" priority="367" operator="containsText" text="7">
      <formula>NOT(ISERROR(SEARCH("7",AF69)))</formula>
    </cfRule>
    <cfRule type="containsText" dxfId="993" priority="368" operator="containsText" text="4">
      <formula>NOT(ISERROR(SEARCH("4",AF69)))</formula>
    </cfRule>
    <cfRule type="containsText" dxfId="992" priority="369" operator="containsText" text="2">
      <formula>NOT(ISERROR(SEARCH("2",AF69)))</formula>
    </cfRule>
    <cfRule type="containsText" dxfId="991" priority="370" operator="containsText" text="1">
      <formula>NOT(ISERROR(SEARCH("1",AF69)))</formula>
    </cfRule>
    <cfRule type="containsText" dxfId="990" priority="371" operator="containsText" text="6">
      <formula>NOT(ISERROR(SEARCH("6",AF69)))</formula>
    </cfRule>
    <cfRule type="containsText" dxfId="989" priority="372" operator="containsText" text="5">
      <formula>NOT(ISERROR(SEARCH("5",AF69)))</formula>
    </cfRule>
    <cfRule type="containsText" dxfId="988" priority="373" operator="containsText" text="9">
      <formula>NOT(ISERROR(SEARCH("9",AF69)))</formula>
    </cfRule>
  </conditionalFormatting>
  <conditionalFormatting sqref="AP69">
    <cfRule type="containsText" dxfId="987" priority="352" operator="containsText" text="5">
      <formula>NOT(ISERROR(SEARCH("5",AP69)))</formula>
    </cfRule>
    <cfRule type="containsText" dxfId="986" priority="353" operator="containsText" text="3">
      <formula>NOT(ISERROR(SEARCH("3",AP69)))</formula>
    </cfRule>
    <cfRule type="containsText" dxfId="985" priority="354" operator="containsText" text="10">
      <formula>NOT(ISERROR(SEARCH("10",AP69)))</formula>
    </cfRule>
    <cfRule type="containsText" dxfId="984" priority="355" operator="containsText" text="8">
      <formula>NOT(ISERROR(SEARCH("8",AP69)))</formula>
    </cfRule>
    <cfRule type="containsText" dxfId="983" priority="356" operator="containsText" text="7">
      <formula>NOT(ISERROR(SEARCH("7",AP69)))</formula>
    </cfRule>
    <cfRule type="containsText" dxfId="982" priority="357" operator="containsText" text="4">
      <formula>NOT(ISERROR(SEARCH("4",AP69)))</formula>
    </cfRule>
    <cfRule type="containsText" dxfId="981" priority="358" operator="containsText" text="2">
      <formula>NOT(ISERROR(SEARCH("2",AP69)))</formula>
    </cfRule>
    <cfRule type="containsText" dxfId="980" priority="359" operator="containsText" text="1">
      <formula>NOT(ISERROR(SEARCH("1",AP69)))</formula>
    </cfRule>
    <cfRule type="containsText" dxfId="979" priority="360" operator="containsText" text="6">
      <formula>NOT(ISERROR(SEARCH("6",AP69)))</formula>
    </cfRule>
    <cfRule type="containsText" dxfId="978" priority="361" operator="containsText" text="5">
      <formula>NOT(ISERROR(SEARCH("5",AP69)))</formula>
    </cfRule>
    <cfRule type="containsText" dxfId="977" priority="362" operator="containsText" text="9">
      <formula>NOT(ISERROR(SEARCH("9",AP69)))</formula>
    </cfRule>
  </conditionalFormatting>
  <conditionalFormatting sqref="AQ78:AR78 AS80:AS81 AT81 AU82:AU83 AV83 AW85:AX86 BA78:BB78 BC81:BD81 BE82:BE83 BF83 BG85:BH86 BI69">
    <cfRule type="containsText" dxfId="976" priority="341" operator="containsText" text="5">
      <formula>NOT(ISERROR(SEARCH("5",AQ69)))</formula>
    </cfRule>
    <cfRule type="containsText" dxfId="975" priority="342" operator="containsText" text="3">
      <formula>NOT(ISERROR(SEARCH("3",AQ69)))</formula>
    </cfRule>
    <cfRule type="containsText" dxfId="974" priority="343" operator="containsText" text="10">
      <formula>NOT(ISERROR(SEARCH("10",AQ69)))</formula>
    </cfRule>
    <cfRule type="containsText" dxfId="973" priority="344" operator="containsText" text="8">
      <formula>NOT(ISERROR(SEARCH("8",AQ69)))</formula>
    </cfRule>
    <cfRule type="containsText" dxfId="972" priority="345" operator="containsText" text="7">
      <formula>NOT(ISERROR(SEARCH("7",AQ69)))</formula>
    </cfRule>
    <cfRule type="containsText" dxfId="971" priority="346" operator="containsText" text="4">
      <formula>NOT(ISERROR(SEARCH("4",AQ69)))</formula>
    </cfRule>
    <cfRule type="containsText" dxfId="970" priority="347" operator="containsText" text="2">
      <formula>NOT(ISERROR(SEARCH("2",AQ69)))</formula>
    </cfRule>
    <cfRule type="containsText" dxfId="969" priority="348" operator="containsText" text="1">
      <formula>NOT(ISERROR(SEARCH("1",AQ69)))</formula>
    </cfRule>
    <cfRule type="containsText" dxfId="968" priority="349" operator="containsText" text="6">
      <formula>NOT(ISERROR(SEARCH("6",AQ69)))</formula>
    </cfRule>
    <cfRule type="containsText" dxfId="967" priority="350" operator="containsText" text="5">
      <formula>NOT(ISERROR(SEARCH("5",AQ69)))</formula>
    </cfRule>
    <cfRule type="containsText" dxfId="966" priority="351" operator="containsText" text="9">
      <formula>NOT(ISERROR(SEARCH("9",AQ69)))</formula>
    </cfRule>
  </conditionalFormatting>
  <conditionalFormatting sqref="AZ69">
    <cfRule type="containsText" dxfId="965" priority="330" operator="containsText" text="5">
      <formula>NOT(ISERROR(SEARCH("5",AZ69)))</formula>
    </cfRule>
    <cfRule type="containsText" dxfId="964" priority="331" operator="containsText" text="3">
      <formula>NOT(ISERROR(SEARCH("3",AZ69)))</formula>
    </cfRule>
    <cfRule type="containsText" dxfId="963" priority="332" operator="containsText" text="10">
      <formula>NOT(ISERROR(SEARCH("10",AZ69)))</formula>
    </cfRule>
    <cfRule type="containsText" dxfId="962" priority="333" operator="containsText" text="8">
      <formula>NOT(ISERROR(SEARCH("8",AZ69)))</formula>
    </cfRule>
    <cfRule type="containsText" dxfId="961" priority="334" operator="containsText" text="7">
      <formula>NOT(ISERROR(SEARCH("7",AZ69)))</formula>
    </cfRule>
    <cfRule type="containsText" dxfId="960" priority="335" operator="containsText" text="4">
      <formula>NOT(ISERROR(SEARCH("4",AZ69)))</formula>
    </cfRule>
    <cfRule type="containsText" dxfId="959" priority="336" operator="containsText" text="2">
      <formula>NOT(ISERROR(SEARCH("2",AZ69)))</formula>
    </cfRule>
    <cfRule type="containsText" dxfId="958" priority="337" operator="containsText" text="1">
      <formula>NOT(ISERROR(SEARCH("1",AZ69)))</formula>
    </cfRule>
    <cfRule type="containsText" dxfId="957" priority="338" operator="containsText" text="6">
      <formula>NOT(ISERROR(SEARCH("6",AZ69)))</formula>
    </cfRule>
    <cfRule type="containsText" dxfId="956" priority="339" operator="containsText" text="5">
      <formula>NOT(ISERROR(SEARCH("5",AZ69)))</formula>
    </cfRule>
    <cfRule type="containsText" dxfId="955" priority="340" operator="containsText" text="9">
      <formula>NOT(ISERROR(SEARCH("9",AZ69)))</formula>
    </cfRule>
  </conditionalFormatting>
  <conditionalFormatting sqref="BJ69">
    <cfRule type="containsText" dxfId="954" priority="319" operator="containsText" text="5">
      <formula>NOT(ISERROR(SEARCH("5",BJ69)))</formula>
    </cfRule>
    <cfRule type="containsText" dxfId="953" priority="320" operator="containsText" text="3">
      <formula>NOT(ISERROR(SEARCH("3",BJ69)))</formula>
    </cfRule>
    <cfRule type="containsText" dxfId="952" priority="321" operator="containsText" text="10">
      <formula>NOT(ISERROR(SEARCH("10",BJ69)))</formula>
    </cfRule>
    <cfRule type="containsText" dxfId="951" priority="322" operator="containsText" text="8">
      <formula>NOT(ISERROR(SEARCH("8",BJ69)))</formula>
    </cfRule>
    <cfRule type="containsText" dxfId="950" priority="323" operator="containsText" text="7">
      <formula>NOT(ISERROR(SEARCH("7",BJ69)))</formula>
    </cfRule>
    <cfRule type="containsText" dxfId="949" priority="324" operator="containsText" text="4">
      <formula>NOT(ISERROR(SEARCH("4",BJ69)))</formula>
    </cfRule>
    <cfRule type="containsText" dxfId="948" priority="325" operator="containsText" text="2">
      <formula>NOT(ISERROR(SEARCH("2",BJ69)))</formula>
    </cfRule>
    <cfRule type="containsText" dxfId="947" priority="326" operator="containsText" text="1">
      <formula>NOT(ISERROR(SEARCH("1",BJ69)))</formula>
    </cfRule>
    <cfRule type="containsText" dxfId="946" priority="327" operator="containsText" text="6">
      <formula>NOT(ISERROR(SEARCH("6",BJ69)))</formula>
    </cfRule>
    <cfRule type="containsText" dxfId="945" priority="328" operator="containsText" text="5">
      <formula>NOT(ISERROR(SEARCH("5",BJ69)))</formula>
    </cfRule>
    <cfRule type="containsText" dxfId="944" priority="329" operator="containsText" text="9">
      <formula>NOT(ISERROR(SEARCH("9",BJ69)))</formula>
    </cfRule>
  </conditionalFormatting>
  <conditionalFormatting sqref="C109:D109 E111:E112 F112 G113:G114 H114 I116:J117 M109:N109 O112:P112 Q113:Q114 R114 S116:T117 K100 U100">
    <cfRule type="containsText" dxfId="943" priority="308" operator="containsText" text="5">
      <formula>NOT(ISERROR(SEARCH("5",C100)))</formula>
    </cfRule>
    <cfRule type="containsText" dxfId="942" priority="309" operator="containsText" text="3">
      <formula>NOT(ISERROR(SEARCH("3",C100)))</formula>
    </cfRule>
    <cfRule type="containsText" dxfId="941" priority="310" operator="containsText" text="10">
      <formula>NOT(ISERROR(SEARCH("10",C100)))</formula>
    </cfRule>
    <cfRule type="containsText" dxfId="940" priority="311" operator="containsText" text="8">
      <formula>NOT(ISERROR(SEARCH("8",C100)))</formula>
    </cfRule>
    <cfRule type="containsText" dxfId="939" priority="312" operator="containsText" text="7">
      <formula>NOT(ISERROR(SEARCH("7",C100)))</formula>
    </cfRule>
    <cfRule type="containsText" dxfId="938" priority="313" operator="containsText" text="4">
      <formula>NOT(ISERROR(SEARCH("4",C100)))</formula>
    </cfRule>
    <cfRule type="containsText" dxfId="937" priority="314" operator="containsText" text="2">
      <formula>NOT(ISERROR(SEARCH("2",C100)))</formula>
    </cfRule>
    <cfRule type="containsText" dxfId="936" priority="315" operator="containsText" text="1">
      <formula>NOT(ISERROR(SEARCH("1",C100)))</formula>
    </cfRule>
    <cfRule type="containsText" dxfId="935" priority="316" operator="containsText" text="6">
      <formula>NOT(ISERROR(SEARCH("6",C100)))</formula>
    </cfRule>
    <cfRule type="containsText" dxfId="934" priority="317" operator="containsText" text="5">
      <formula>NOT(ISERROR(SEARCH("5",C100)))</formula>
    </cfRule>
    <cfRule type="containsText" dxfId="933" priority="318" operator="containsText" text="9">
      <formula>NOT(ISERROR(SEARCH("9",C100)))</formula>
    </cfRule>
  </conditionalFormatting>
  <conditionalFormatting sqref="L100">
    <cfRule type="containsText" dxfId="932" priority="297" operator="containsText" text="5">
      <formula>NOT(ISERROR(SEARCH("5",L100)))</formula>
    </cfRule>
    <cfRule type="containsText" dxfId="931" priority="298" operator="containsText" text="3">
      <formula>NOT(ISERROR(SEARCH("3",L100)))</formula>
    </cfRule>
    <cfRule type="containsText" dxfId="930" priority="299" operator="containsText" text="10">
      <formula>NOT(ISERROR(SEARCH("10",L100)))</formula>
    </cfRule>
    <cfRule type="containsText" dxfId="929" priority="300" operator="containsText" text="8">
      <formula>NOT(ISERROR(SEARCH("8",L100)))</formula>
    </cfRule>
    <cfRule type="containsText" dxfId="928" priority="301" operator="containsText" text="7">
      <formula>NOT(ISERROR(SEARCH("7",L100)))</formula>
    </cfRule>
    <cfRule type="containsText" dxfId="927" priority="302" operator="containsText" text="4">
      <formula>NOT(ISERROR(SEARCH("4",L100)))</formula>
    </cfRule>
    <cfRule type="containsText" dxfId="926" priority="303" operator="containsText" text="2">
      <formula>NOT(ISERROR(SEARCH("2",L100)))</formula>
    </cfRule>
    <cfRule type="containsText" dxfId="925" priority="304" operator="containsText" text="1">
      <formula>NOT(ISERROR(SEARCH("1",L100)))</formula>
    </cfRule>
    <cfRule type="containsText" dxfId="924" priority="305" operator="containsText" text="6">
      <formula>NOT(ISERROR(SEARCH("6",L100)))</formula>
    </cfRule>
    <cfRule type="containsText" dxfId="923" priority="306" operator="containsText" text="5">
      <formula>NOT(ISERROR(SEARCH("5",L100)))</formula>
    </cfRule>
    <cfRule type="containsText" dxfId="922" priority="307" operator="containsText" text="9">
      <formula>NOT(ISERROR(SEARCH("9",L100)))</formula>
    </cfRule>
  </conditionalFormatting>
  <conditionalFormatting sqref="V100">
    <cfRule type="containsText" dxfId="921" priority="286" operator="containsText" text="5">
      <formula>NOT(ISERROR(SEARCH("5",V100)))</formula>
    </cfRule>
    <cfRule type="containsText" dxfId="920" priority="287" operator="containsText" text="3">
      <formula>NOT(ISERROR(SEARCH("3",V100)))</formula>
    </cfRule>
    <cfRule type="containsText" dxfId="919" priority="288" operator="containsText" text="10">
      <formula>NOT(ISERROR(SEARCH("10",V100)))</formula>
    </cfRule>
    <cfRule type="containsText" dxfId="918" priority="289" operator="containsText" text="8">
      <formula>NOT(ISERROR(SEARCH("8",V100)))</formula>
    </cfRule>
    <cfRule type="containsText" dxfId="917" priority="290" operator="containsText" text="7">
      <formula>NOT(ISERROR(SEARCH("7",V100)))</formula>
    </cfRule>
    <cfRule type="containsText" dxfId="916" priority="291" operator="containsText" text="4">
      <formula>NOT(ISERROR(SEARCH("4",V100)))</formula>
    </cfRule>
    <cfRule type="containsText" dxfId="915" priority="292" operator="containsText" text="2">
      <formula>NOT(ISERROR(SEARCH("2",V100)))</formula>
    </cfRule>
    <cfRule type="containsText" dxfId="914" priority="293" operator="containsText" text="1">
      <formula>NOT(ISERROR(SEARCH("1",V100)))</formula>
    </cfRule>
    <cfRule type="containsText" dxfId="913" priority="294" operator="containsText" text="6">
      <formula>NOT(ISERROR(SEARCH("6",V100)))</formula>
    </cfRule>
    <cfRule type="containsText" dxfId="912" priority="295" operator="containsText" text="5">
      <formula>NOT(ISERROR(SEARCH("5",V100)))</formula>
    </cfRule>
    <cfRule type="containsText" dxfId="911" priority="296" operator="containsText" text="9">
      <formula>NOT(ISERROR(SEARCH("9",V100)))</formula>
    </cfRule>
  </conditionalFormatting>
  <conditionalFormatting sqref="W109:X109 Y111:Y112 Z112 AA113:AA114 AB114 AC116:AD117 AG109:AH109 AI112:AJ112 AK113:AK114 AL114 AM116:AN117 AE100 AO100">
    <cfRule type="containsText" dxfId="910" priority="275" operator="containsText" text="5">
      <formula>NOT(ISERROR(SEARCH("5",W100)))</formula>
    </cfRule>
    <cfRule type="containsText" dxfId="909" priority="276" operator="containsText" text="3">
      <formula>NOT(ISERROR(SEARCH("3",W100)))</formula>
    </cfRule>
    <cfRule type="containsText" dxfId="908" priority="277" operator="containsText" text="10">
      <formula>NOT(ISERROR(SEARCH("10",W100)))</formula>
    </cfRule>
    <cfRule type="containsText" dxfId="907" priority="278" operator="containsText" text="8">
      <formula>NOT(ISERROR(SEARCH("8",W100)))</formula>
    </cfRule>
    <cfRule type="containsText" dxfId="906" priority="279" operator="containsText" text="7">
      <formula>NOT(ISERROR(SEARCH("7",W100)))</formula>
    </cfRule>
    <cfRule type="containsText" dxfId="905" priority="280" operator="containsText" text="4">
      <formula>NOT(ISERROR(SEARCH("4",W100)))</formula>
    </cfRule>
    <cfRule type="containsText" dxfId="904" priority="281" operator="containsText" text="2">
      <formula>NOT(ISERROR(SEARCH("2",W100)))</formula>
    </cfRule>
    <cfRule type="containsText" dxfId="903" priority="282" operator="containsText" text="1">
      <formula>NOT(ISERROR(SEARCH("1",W100)))</formula>
    </cfRule>
    <cfRule type="containsText" dxfId="902" priority="283" operator="containsText" text="6">
      <formula>NOT(ISERROR(SEARCH("6",W100)))</formula>
    </cfRule>
    <cfRule type="containsText" dxfId="901" priority="284" operator="containsText" text="5">
      <formula>NOT(ISERROR(SEARCH("5",W100)))</formula>
    </cfRule>
    <cfRule type="containsText" dxfId="900" priority="285" operator="containsText" text="9">
      <formula>NOT(ISERROR(SEARCH("9",W100)))</formula>
    </cfRule>
  </conditionalFormatting>
  <conditionalFormatting sqref="AF100">
    <cfRule type="containsText" dxfId="899" priority="264" operator="containsText" text="5">
      <formula>NOT(ISERROR(SEARCH("5",AF100)))</formula>
    </cfRule>
    <cfRule type="containsText" dxfId="898" priority="265" operator="containsText" text="3">
      <formula>NOT(ISERROR(SEARCH("3",AF100)))</formula>
    </cfRule>
    <cfRule type="containsText" dxfId="897" priority="266" operator="containsText" text="10">
      <formula>NOT(ISERROR(SEARCH("10",AF100)))</formula>
    </cfRule>
    <cfRule type="containsText" dxfId="896" priority="267" operator="containsText" text="8">
      <formula>NOT(ISERROR(SEARCH("8",AF100)))</formula>
    </cfRule>
    <cfRule type="containsText" dxfId="895" priority="268" operator="containsText" text="7">
      <formula>NOT(ISERROR(SEARCH("7",AF100)))</formula>
    </cfRule>
    <cfRule type="containsText" dxfId="894" priority="269" operator="containsText" text="4">
      <formula>NOT(ISERROR(SEARCH("4",AF100)))</formula>
    </cfRule>
    <cfRule type="containsText" dxfId="893" priority="270" operator="containsText" text="2">
      <formula>NOT(ISERROR(SEARCH("2",AF100)))</formula>
    </cfRule>
    <cfRule type="containsText" dxfId="892" priority="271" operator="containsText" text="1">
      <formula>NOT(ISERROR(SEARCH("1",AF100)))</formula>
    </cfRule>
    <cfRule type="containsText" dxfId="891" priority="272" operator="containsText" text="6">
      <formula>NOT(ISERROR(SEARCH("6",AF100)))</formula>
    </cfRule>
    <cfRule type="containsText" dxfId="890" priority="273" operator="containsText" text="5">
      <formula>NOT(ISERROR(SEARCH("5",AF100)))</formula>
    </cfRule>
    <cfRule type="containsText" dxfId="889" priority="274" operator="containsText" text="9">
      <formula>NOT(ISERROR(SEARCH("9",AF100)))</formula>
    </cfRule>
  </conditionalFormatting>
  <conditionalFormatting sqref="AP100">
    <cfRule type="containsText" dxfId="888" priority="253" operator="containsText" text="5">
      <formula>NOT(ISERROR(SEARCH("5",AP100)))</formula>
    </cfRule>
    <cfRule type="containsText" dxfId="887" priority="254" operator="containsText" text="3">
      <formula>NOT(ISERROR(SEARCH("3",AP100)))</formula>
    </cfRule>
    <cfRule type="containsText" dxfId="886" priority="255" operator="containsText" text="10">
      <formula>NOT(ISERROR(SEARCH("10",AP100)))</formula>
    </cfRule>
    <cfRule type="containsText" dxfId="885" priority="256" operator="containsText" text="8">
      <formula>NOT(ISERROR(SEARCH("8",AP100)))</formula>
    </cfRule>
    <cfRule type="containsText" dxfId="884" priority="257" operator="containsText" text="7">
      <formula>NOT(ISERROR(SEARCH("7",AP100)))</formula>
    </cfRule>
    <cfRule type="containsText" dxfId="883" priority="258" operator="containsText" text="4">
      <formula>NOT(ISERROR(SEARCH("4",AP100)))</formula>
    </cfRule>
    <cfRule type="containsText" dxfId="882" priority="259" operator="containsText" text="2">
      <formula>NOT(ISERROR(SEARCH("2",AP100)))</formula>
    </cfRule>
    <cfRule type="containsText" dxfId="881" priority="260" operator="containsText" text="1">
      <formula>NOT(ISERROR(SEARCH("1",AP100)))</formula>
    </cfRule>
    <cfRule type="containsText" dxfId="880" priority="261" operator="containsText" text="6">
      <formula>NOT(ISERROR(SEARCH("6",AP100)))</formula>
    </cfRule>
    <cfRule type="containsText" dxfId="879" priority="262" operator="containsText" text="5">
      <formula>NOT(ISERROR(SEARCH("5",AP100)))</formula>
    </cfRule>
    <cfRule type="containsText" dxfId="878" priority="263" operator="containsText" text="9">
      <formula>NOT(ISERROR(SEARCH("9",AP100)))</formula>
    </cfRule>
  </conditionalFormatting>
  <conditionalFormatting sqref="AQ109:AR109 AS111:AS112 AT112 AU113:AU114 AV114 AW116:AX117 BA109:BB109 BC112:BD112 BE113:BE114 BF114 BG116:BH117 AY100 BI100">
    <cfRule type="containsText" dxfId="877" priority="242" operator="containsText" text="5">
      <formula>NOT(ISERROR(SEARCH("5",AQ100)))</formula>
    </cfRule>
    <cfRule type="containsText" dxfId="876" priority="243" operator="containsText" text="3">
      <formula>NOT(ISERROR(SEARCH("3",AQ100)))</formula>
    </cfRule>
    <cfRule type="containsText" dxfId="875" priority="244" operator="containsText" text="10">
      <formula>NOT(ISERROR(SEARCH("10",AQ100)))</formula>
    </cfRule>
    <cfRule type="containsText" dxfId="874" priority="245" operator="containsText" text="8">
      <formula>NOT(ISERROR(SEARCH("8",AQ100)))</formula>
    </cfRule>
    <cfRule type="containsText" dxfId="873" priority="246" operator="containsText" text="7">
      <formula>NOT(ISERROR(SEARCH("7",AQ100)))</formula>
    </cfRule>
    <cfRule type="containsText" dxfId="872" priority="247" operator="containsText" text="4">
      <formula>NOT(ISERROR(SEARCH("4",AQ100)))</formula>
    </cfRule>
    <cfRule type="containsText" dxfId="871" priority="248" operator="containsText" text="2">
      <formula>NOT(ISERROR(SEARCH("2",AQ100)))</formula>
    </cfRule>
    <cfRule type="containsText" dxfId="870" priority="249" operator="containsText" text="1">
      <formula>NOT(ISERROR(SEARCH("1",AQ100)))</formula>
    </cfRule>
    <cfRule type="containsText" dxfId="869" priority="250" operator="containsText" text="6">
      <formula>NOT(ISERROR(SEARCH("6",AQ100)))</formula>
    </cfRule>
    <cfRule type="containsText" dxfId="868" priority="251" operator="containsText" text="5">
      <formula>NOT(ISERROR(SEARCH("5",AQ100)))</formula>
    </cfRule>
    <cfRule type="containsText" dxfId="867" priority="252" operator="containsText" text="9">
      <formula>NOT(ISERROR(SEARCH("9",AQ100)))</formula>
    </cfRule>
  </conditionalFormatting>
  <conditionalFormatting sqref="AZ100">
    <cfRule type="containsText" dxfId="866" priority="231" operator="containsText" text="5">
      <formula>NOT(ISERROR(SEARCH("5",AZ100)))</formula>
    </cfRule>
    <cfRule type="containsText" dxfId="865" priority="232" operator="containsText" text="3">
      <formula>NOT(ISERROR(SEARCH("3",AZ100)))</formula>
    </cfRule>
    <cfRule type="containsText" dxfId="864" priority="233" operator="containsText" text="10">
      <formula>NOT(ISERROR(SEARCH("10",AZ100)))</formula>
    </cfRule>
    <cfRule type="containsText" dxfId="863" priority="234" operator="containsText" text="8">
      <formula>NOT(ISERROR(SEARCH("8",AZ100)))</formula>
    </cfRule>
    <cfRule type="containsText" dxfId="862" priority="235" operator="containsText" text="7">
      <formula>NOT(ISERROR(SEARCH("7",AZ100)))</formula>
    </cfRule>
    <cfRule type="containsText" dxfId="861" priority="236" operator="containsText" text="4">
      <formula>NOT(ISERROR(SEARCH("4",AZ100)))</formula>
    </cfRule>
    <cfRule type="containsText" dxfId="860" priority="237" operator="containsText" text="2">
      <formula>NOT(ISERROR(SEARCH("2",AZ100)))</formula>
    </cfRule>
    <cfRule type="containsText" dxfId="859" priority="238" operator="containsText" text="1">
      <formula>NOT(ISERROR(SEARCH("1",AZ100)))</formula>
    </cfRule>
    <cfRule type="containsText" dxfId="858" priority="239" operator="containsText" text="6">
      <formula>NOT(ISERROR(SEARCH("6",AZ100)))</formula>
    </cfRule>
    <cfRule type="containsText" dxfId="857" priority="240" operator="containsText" text="5">
      <formula>NOT(ISERROR(SEARCH("5",AZ100)))</formula>
    </cfRule>
    <cfRule type="containsText" dxfId="856" priority="241" operator="containsText" text="9">
      <formula>NOT(ISERROR(SEARCH("9",AZ100)))</formula>
    </cfRule>
  </conditionalFormatting>
  <conditionalFormatting sqref="BJ100">
    <cfRule type="containsText" dxfId="855" priority="220" operator="containsText" text="5">
      <formula>NOT(ISERROR(SEARCH("5",BJ100)))</formula>
    </cfRule>
    <cfRule type="containsText" dxfId="854" priority="221" operator="containsText" text="3">
      <formula>NOT(ISERROR(SEARCH("3",BJ100)))</formula>
    </cfRule>
    <cfRule type="containsText" dxfId="853" priority="222" operator="containsText" text="10">
      <formula>NOT(ISERROR(SEARCH("10",BJ100)))</formula>
    </cfRule>
    <cfRule type="containsText" dxfId="852" priority="223" operator="containsText" text="8">
      <formula>NOT(ISERROR(SEARCH("8",BJ100)))</formula>
    </cfRule>
    <cfRule type="containsText" dxfId="851" priority="224" operator="containsText" text="7">
      <formula>NOT(ISERROR(SEARCH("7",BJ100)))</formula>
    </cfRule>
    <cfRule type="containsText" dxfId="850" priority="225" operator="containsText" text="4">
      <formula>NOT(ISERROR(SEARCH("4",BJ100)))</formula>
    </cfRule>
    <cfRule type="containsText" dxfId="849" priority="226" operator="containsText" text="2">
      <formula>NOT(ISERROR(SEARCH("2",BJ100)))</formula>
    </cfRule>
    <cfRule type="containsText" dxfId="848" priority="227" operator="containsText" text="1">
      <formula>NOT(ISERROR(SEARCH("1",BJ100)))</formula>
    </cfRule>
    <cfRule type="containsText" dxfId="847" priority="228" operator="containsText" text="6">
      <formula>NOT(ISERROR(SEARCH("6",BJ100)))</formula>
    </cfRule>
    <cfRule type="containsText" dxfId="846" priority="229" operator="containsText" text="5">
      <formula>NOT(ISERROR(SEARCH("5",BJ100)))</formula>
    </cfRule>
    <cfRule type="containsText" dxfId="845" priority="230" operator="containsText" text="9">
      <formula>NOT(ISERROR(SEARCH("9",BJ100)))</formula>
    </cfRule>
  </conditionalFormatting>
  <conditionalFormatting sqref="C140:D140 E142:E143 F143 G144:G145 H145 I147:J148 M140:N140 O143:P143 Q144:Q145 R145 S147:T148 K131 U131">
    <cfRule type="containsText" dxfId="844" priority="209" operator="containsText" text="5">
      <formula>NOT(ISERROR(SEARCH("5",C131)))</formula>
    </cfRule>
    <cfRule type="containsText" dxfId="843" priority="210" operator="containsText" text="3">
      <formula>NOT(ISERROR(SEARCH("3",C131)))</formula>
    </cfRule>
    <cfRule type="containsText" dxfId="842" priority="211" operator="containsText" text="10">
      <formula>NOT(ISERROR(SEARCH("10",C131)))</formula>
    </cfRule>
    <cfRule type="containsText" dxfId="841" priority="212" operator="containsText" text="8">
      <formula>NOT(ISERROR(SEARCH("8",C131)))</formula>
    </cfRule>
    <cfRule type="containsText" dxfId="840" priority="213" operator="containsText" text="7">
      <formula>NOT(ISERROR(SEARCH("7",C131)))</formula>
    </cfRule>
    <cfRule type="containsText" dxfId="839" priority="214" operator="containsText" text="4">
      <formula>NOT(ISERROR(SEARCH("4",C131)))</formula>
    </cfRule>
    <cfRule type="containsText" dxfId="838" priority="215" operator="containsText" text="2">
      <formula>NOT(ISERROR(SEARCH("2",C131)))</formula>
    </cfRule>
    <cfRule type="containsText" dxfId="837" priority="216" operator="containsText" text="1">
      <formula>NOT(ISERROR(SEARCH("1",C131)))</formula>
    </cfRule>
    <cfRule type="containsText" dxfId="836" priority="217" operator="containsText" text="6">
      <formula>NOT(ISERROR(SEARCH("6",C131)))</formula>
    </cfRule>
    <cfRule type="containsText" dxfId="835" priority="218" operator="containsText" text="5">
      <formula>NOT(ISERROR(SEARCH("5",C131)))</formula>
    </cfRule>
    <cfRule type="containsText" dxfId="834" priority="219" operator="containsText" text="9">
      <formula>NOT(ISERROR(SEARCH("9",C131)))</formula>
    </cfRule>
  </conditionalFormatting>
  <conditionalFormatting sqref="L131">
    <cfRule type="containsText" dxfId="833" priority="198" operator="containsText" text="5">
      <formula>NOT(ISERROR(SEARCH("5",L131)))</formula>
    </cfRule>
    <cfRule type="containsText" dxfId="832" priority="199" operator="containsText" text="3">
      <formula>NOT(ISERROR(SEARCH("3",L131)))</formula>
    </cfRule>
    <cfRule type="containsText" dxfId="831" priority="200" operator="containsText" text="10">
      <formula>NOT(ISERROR(SEARCH("10",L131)))</formula>
    </cfRule>
    <cfRule type="containsText" dxfId="830" priority="201" operator="containsText" text="8">
      <formula>NOT(ISERROR(SEARCH("8",L131)))</formula>
    </cfRule>
    <cfRule type="containsText" dxfId="829" priority="202" operator="containsText" text="7">
      <formula>NOT(ISERROR(SEARCH("7",L131)))</formula>
    </cfRule>
    <cfRule type="containsText" dxfId="828" priority="203" operator="containsText" text="4">
      <formula>NOT(ISERROR(SEARCH("4",L131)))</formula>
    </cfRule>
    <cfRule type="containsText" dxfId="827" priority="204" operator="containsText" text="2">
      <formula>NOT(ISERROR(SEARCH("2",L131)))</formula>
    </cfRule>
    <cfRule type="containsText" dxfId="826" priority="205" operator="containsText" text="1">
      <formula>NOT(ISERROR(SEARCH("1",L131)))</formula>
    </cfRule>
    <cfRule type="containsText" dxfId="825" priority="206" operator="containsText" text="6">
      <formula>NOT(ISERROR(SEARCH("6",L131)))</formula>
    </cfRule>
    <cfRule type="containsText" dxfId="824" priority="207" operator="containsText" text="5">
      <formula>NOT(ISERROR(SEARCH("5",L131)))</formula>
    </cfRule>
    <cfRule type="containsText" dxfId="823" priority="208" operator="containsText" text="9">
      <formula>NOT(ISERROR(SEARCH("9",L131)))</formula>
    </cfRule>
  </conditionalFormatting>
  <conditionalFormatting sqref="V131">
    <cfRule type="containsText" dxfId="822" priority="187" operator="containsText" text="5">
      <formula>NOT(ISERROR(SEARCH("5",V131)))</formula>
    </cfRule>
    <cfRule type="containsText" dxfId="821" priority="188" operator="containsText" text="3">
      <formula>NOT(ISERROR(SEARCH("3",V131)))</formula>
    </cfRule>
    <cfRule type="containsText" dxfId="820" priority="189" operator="containsText" text="10">
      <formula>NOT(ISERROR(SEARCH("10",V131)))</formula>
    </cfRule>
    <cfRule type="containsText" dxfId="819" priority="190" operator="containsText" text="8">
      <formula>NOT(ISERROR(SEARCH("8",V131)))</formula>
    </cfRule>
    <cfRule type="containsText" dxfId="818" priority="191" operator="containsText" text="7">
      <formula>NOT(ISERROR(SEARCH("7",V131)))</formula>
    </cfRule>
    <cfRule type="containsText" dxfId="817" priority="192" operator="containsText" text="4">
      <formula>NOT(ISERROR(SEARCH("4",V131)))</formula>
    </cfRule>
    <cfRule type="containsText" dxfId="816" priority="193" operator="containsText" text="2">
      <formula>NOT(ISERROR(SEARCH("2",V131)))</formula>
    </cfRule>
    <cfRule type="containsText" dxfId="815" priority="194" operator="containsText" text="1">
      <formula>NOT(ISERROR(SEARCH("1",V131)))</formula>
    </cfRule>
    <cfRule type="containsText" dxfId="814" priority="195" operator="containsText" text="6">
      <formula>NOT(ISERROR(SEARCH("6",V131)))</formula>
    </cfRule>
    <cfRule type="containsText" dxfId="813" priority="196" operator="containsText" text="5">
      <formula>NOT(ISERROR(SEARCH("5",V131)))</formula>
    </cfRule>
    <cfRule type="containsText" dxfId="812" priority="197" operator="containsText" text="9">
      <formula>NOT(ISERROR(SEARCH("9",V131)))</formula>
    </cfRule>
  </conditionalFormatting>
  <conditionalFormatting sqref="W16:X16 Y18:Y19 Z19 AA20:AA21 AB21 AC23:AD24 AG16:AH16 AI19:AJ19 AK20:AK21 AL21 AM23:AN24 AE7 AO7">
    <cfRule type="containsText" dxfId="811" priority="176" operator="containsText" text="5">
      <formula>NOT(ISERROR(SEARCH("5",W7)))</formula>
    </cfRule>
    <cfRule type="containsText" dxfId="810" priority="177" operator="containsText" text="3">
      <formula>NOT(ISERROR(SEARCH("3",W7)))</formula>
    </cfRule>
    <cfRule type="containsText" dxfId="809" priority="178" operator="containsText" text="10">
      <formula>NOT(ISERROR(SEARCH("10",W7)))</formula>
    </cfRule>
    <cfRule type="containsText" dxfId="808" priority="179" operator="containsText" text="8">
      <formula>NOT(ISERROR(SEARCH("8",W7)))</formula>
    </cfRule>
    <cfRule type="containsText" dxfId="807" priority="180" operator="containsText" text="7">
      <formula>NOT(ISERROR(SEARCH("7",W7)))</formula>
    </cfRule>
    <cfRule type="containsText" dxfId="806" priority="181" operator="containsText" text="4">
      <formula>NOT(ISERROR(SEARCH("4",W7)))</formula>
    </cfRule>
    <cfRule type="containsText" dxfId="805" priority="182" operator="containsText" text="2">
      <formula>NOT(ISERROR(SEARCH("2",W7)))</formula>
    </cfRule>
    <cfRule type="containsText" dxfId="804" priority="183" operator="containsText" text="1">
      <formula>NOT(ISERROR(SEARCH("1",W7)))</formula>
    </cfRule>
    <cfRule type="containsText" dxfId="803" priority="184" operator="containsText" text="6">
      <formula>NOT(ISERROR(SEARCH("6",W7)))</formula>
    </cfRule>
    <cfRule type="containsText" dxfId="802" priority="185" operator="containsText" text="5">
      <formula>NOT(ISERROR(SEARCH("5",W7)))</formula>
    </cfRule>
    <cfRule type="containsText" dxfId="801" priority="186" operator="containsText" text="9">
      <formula>NOT(ISERROR(SEARCH("9",W7)))</formula>
    </cfRule>
  </conditionalFormatting>
  <conditionalFormatting sqref="AF7">
    <cfRule type="containsText" dxfId="800" priority="165" operator="containsText" text="5">
      <formula>NOT(ISERROR(SEARCH("5",AF7)))</formula>
    </cfRule>
    <cfRule type="containsText" dxfId="799" priority="166" operator="containsText" text="3">
      <formula>NOT(ISERROR(SEARCH("3",AF7)))</formula>
    </cfRule>
    <cfRule type="containsText" dxfId="798" priority="167" operator="containsText" text="10">
      <formula>NOT(ISERROR(SEARCH("10",AF7)))</formula>
    </cfRule>
    <cfRule type="containsText" dxfId="797" priority="168" operator="containsText" text="8">
      <formula>NOT(ISERROR(SEARCH("8",AF7)))</formula>
    </cfRule>
    <cfRule type="containsText" dxfId="796" priority="169" operator="containsText" text="7">
      <formula>NOT(ISERROR(SEARCH("7",AF7)))</formula>
    </cfRule>
    <cfRule type="containsText" dxfId="795" priority="170" operator="containsText" text="4">
      <formula>NOT(ISERROR(SEARCH("4",AF7)))</formula>
    </cfRule>
    <cfRule type="containsText" dxfId="794" priority="171" operator="containsText" text="2">
      <formula>NOT(ISERROR(SEARCH("2",AF7)))</formula>
    </cfRule>
    <cfRule type="containsText" dxfId="793" priority="172" operator="containsText" text="1">
      <formula>NOT(ISERROR(SEARCH("1",AF7)))</formula>
    </cfRule>
    <cfRule type="containsText" dxfId="792" priority="173" operator="containsText" text="6">
      <formula>NOT(ISERROR(SEARCH("6",AF7)))</formula>
    </cfRule>
    <cfRule type="containsText" dxfId="791" priority="174" operator="containsText" text="5">
      <formula>NOT(ISERROR(SEARCH("5",AF7)))</formula>
    </cfRule>
    <cfRule type="containsText" dxfId="790" priority="175" operator="containsText" text="9">
      <formula>NOT(ISERROR(SEARCH("9",AF7)))</formula>
    </cfRule>
  </conditionalFormatting>
  <conditionalFormatting sqref="AP7">
    <cfRule type="containsText" dxfId="789" priority="154" operator="containsText" text="5">
      <formula>NOT(ISERROR(SEARCH("5",AP7)))</formula>
    </cfRule>
    <cfRule type="containsText" dxfId="788" priority="155" operator="containsText" text="3">
      <formula>NOT(ISERROR(SEARCH("3",AP7)))</formula>
    </cfRule>
    <cfRule type="containsText" dxfId="787" priority="156" operator="containsText" text="10">
      <formula>NOT(ISERROR(SEARCH("10",AP7)))</formula>
    </cfRule>
    <cfRule type="containsText" dxfId="786" priority="157" operator="containsText" text="8">
      <formula>NOT(ISERROR(SEARCH("8",AP7)))</formula>
    </cfRule>
    <cfRule type="containsText" dxfId="785" priority="158" operator="containsText" text="7">
      <formula>NOT(ISERROR(SEARCH("7",AP7)))</formula>
    </cfRule>
    <cfRule type="containsText" dxfId="784" priority="159" operator="containsText" text="4">
      <formula>NOT(ISERROR(SEARCH("4",AP7)))</formula>
    </cfRule>
    <cfRule type="containsText" dxfId="783" priority="160" operator="containsText" text="2">
      <formula>NOT(ISERROR(SEARCH("2",AP7)))</formula>
    </cfRule>
    <cfRule type="containsText" dxfId="782" priority="161" operator="containsText" text="1">
      <formula>NOT(ISERROR(SEARCH("1",AP7)))</formula>
    </cfRule>
    <cfRule type="containsText" dxfId="781" priority="162" operator="containsText" text="6">
      <formula>NOT(ISERROR(SEARCH("6",AP7)))</formula>
    </cfRule>
    <cfRule type="containsText" dxfId="780" priority="163" operator="containsText" text="5">
      <formula>NOT(ISERROR(SEARCH("5",AP7)))</formula>
    </cfRule>
    <cfRule type="containsText" dxfId="779" priority="164" operator="containsText" text="9">
      <formula>NOT(ISERROR(SEARCH("9",AP7)))</formula>
    </cfRule>
  </conditionalFormatting>
  <conditionalFormatting sqref="BK16:BL16 BM19:BN19 BO20:BO21 BP21 BQ23:BR24 BS7">
    <cfRule type="containsText" dxfId="778" priority="143" operator="containsText" text="5">
      <formula>NOT(ISERROR(SEARCH("5",BK7)))</formula>
    </cfRule>
    <cfRule type="containsText" dxfId="777" priority="144" operator="containsText" text="3">
      <formula>NOT(ISERROR(SEARCH("3",BK7)))</formula>
    </cfRule>
    <cfRule type="containsText" dxfId="776" priority="145" operator="containsText" text="10">
      <formula>NOT(ISERROR(SEARCH("10",BK7)))</formula>
    </cfRule>
    <cfRule type="containsText" dxfId="775" priority="146" operator="containsText" text="8">
      <formula>NOT(ISERROR(SEARCH("8",BK7)))</formula>
    </cfRule>
    <cfRule type="containsText" dxfId="774" priority="147" operator="containsText" text="7">
      <formula>NOT(ISERROR(SEARCH("7",BK7)))</formula>
    </cfRule>
    <cfRule type="containsText" dxfId="773" priority="148" operator="containsText" text="4">
      <formula>NOT(ISERROR(SEARCH("4",BK7)))</formula>
    </cfRule>
    <cfRule type="containsText" dxfId="772" priority="149" operator="containsText" text="2">
      <formula>NOT(ISERROR(SEARCH("2",BK7)))</formula>
    </cfRule>
    <cfRule type="containsText" dxfId="771" priority="150" operator="containsText" text="1">
      <formula>NOT(ISERROR(SEARCH("1",BK7)))</formula>
    </cfRule>
    <cfRule type="containsText" dxfId="770" priority="151" operator="containsText" text="6">
      <formula>NOT(ISERROR(SEARCH("6",BK7)))</formula>
    </cfRule>
    <cfRule type="containsText" dxfId="769" priority="152" operator="containsText" text="5">
      <formula>NOT(ISERROR(SEARCH("5",BK7)))</formula>
    </cfRule>
    <cfRule type="containsText" dxfId="768" priority="153" operator="containsText" text="9">
      <formula>NOT(ISERROR(SEARCH("9",BK7)))</formula>
    </cfRule>
  </conditionalFormatting>
  <conditionalFormatting sqref="BT7">
    <cfRule type="containsText" dxfId="767" priority="132" operator="containsText" text="5">
      <formula>NOT(ISERROR(SEARCH("5",BT7)))</formula>
    </cfRule>
    <cfRule type="containsText" dxfId="766" priority="133" operator="containsText" text="3">
      <formula>NOT(ISERROR(SEARCH("3",BT7)))</formula>
    </cfRule>
    <cfRule type="containsText" dxfId="765" priority="134" operator="containsText" text="10">
      <formula>NOT(ISERROR(SEARCH("10",BT7)))</formula>
    </cfRule>
    <cfRule type="containsText" dxfId="764" priority="135" operator="containsText" text="8">
      <formula>NOT(ISERROR(SEARCH("8",BT7)))</formula>
    </cfRule>
    <cfRule type="containsText" dxfId="763" priority="136" operator="containsText" text="7">
      <formula>NOT(ISERROR(SEARCH("7",BT7)))</formula>
    </cfRule>
    <cfRule type="containsText" dxfId="762" priority="137" operator="containsText" text="4">
      <formula>NOT(ISERROR(SEARCH("4",BT7)))</formula>
    </cfRule>
    <cfRule type="containsText" dxfId="761" priority="138" operator="containsText" text="2">
      <formula>NOT(ISERROR(SEARCH("2",BT7)))</formula>
    </cfRule>
    <cfRule type="containsText" dxfId="760" priority="139" operator="containsText" text="1">
      <formula>NOT(ISERROR(SEARCH("1",BT7)))</formula>
    </cfRule>
    <cfRule type="containsText" dxfId="759" priority="140" operator="containsText" text="6">
      <formula>NOT(ISERROR(SEARCH("6",BT7)))</formula>
    </cfRule>
    <cfRule type="containsText" dxfId="758" priority="141" operator="containsText" text="5">
      <formula>NOT(ISERROR(SEARCH("5",BT7)))</formula>
    </cfRule>
    <cfRule type="containsText" dxfId="757" priority="142" operator="containsText" text="9">
      <formula>NOT(ISERROR(SEARCH("9",BT7)))</formula>
    </cfRule>
  </conditionalFormatting>
  <conditionalFormatting sqref="BK47:BL47 BM50:BN50 BO51:BO52 BP52 BQ54:BR55 BS38">
    <cfRule type="containsText" dxfId="756" priority="121" operator="containsText" text="5">
      <formula>NOT(ISERROR(SEARCH("5",BK38)))</formula>
    </cfRule>
    <cfRule type="containsText" dxfId="755" priority="122" operator="containsText" text="3">
      <formula>NOT(ISERROR(SEARCH("3",BK38)))</formula>
    </cfRule>
    <cfRule type="containsText" dxfId="754" priority="123" operator="containsText" text="10">
      <formula>NOT(ISERROR(SEARCH("10",BK38)))</formula>
    </cfRule>
    <cfRule type="containsText" dxfId="753" priority="124" operator="containsText" text="8">
      <formula>NOT(ISERROR(SEARCH("8",BK38)))</formula>
    </cfRule>
    <cfRule type="containsText" dxfId="752" priority="125" operator="containsText" text="7">
      <formula>NOT(ISERROR(SEARCH("7",BK38)))</formula>
    </cfRule>
    <cfRule type="containsText" dxfId="751" priority="126" operator="containsText" text="4">
      <formula>NOT(ISERROR(SEARCH("4",BK38)))</formula>
    </cfRule>
    <cfRule type="containsText" dxfId="750" priority="127" operator="containsText" text="2">
      <formula>NOT(ISERROR(SEARCH("2",BK38)))</formula>
    </cfRule>
    <cfRule type="containsText" dxfId="749" priority="128" operator="containsText" text="1">
      <formula>NOT(ISERROR(SEARCH("1",BK38)))</formula>
    </cfRule>
    <cfRule type="containsText" dxfId="748" priority="129" operator="containsText" text="6">
      <formula>NOT(ISERROR(SEARCH("6",BK38)))</formula>
    </cfRule>
    <cfRule type="containsText" dxfId="747" priority="130" operator="containsText" text="5">
      <formula>NOT(ISERROR(SEARCH("5",BK38)))</formula>
    </cfRule>
    <cfRule type="containsText" dxfId="746" priority="131" operator="containsText" text="9">
      <formula>NOT(ISERROR(SEARCH("9",BK38)))</formula>
    </cfRule>
  </conditionalFormatting>
  <conditionalFormatting sqref="BT38">
    <cfRule type="containsText" dxfId="745" priority="110" operator="containsText" text="5">
      <formula>NOT(ISERROR(SEARCH("5",BT38)))</formula>
    </cfRule>
    <cfRule type="containsText" dxfId="744" priority="111" operator="containsText" text="3">
      <formula>NOT(ISERROR(SEARCH("3",BT38)))</formula>
    </cfRule>
    <cfRule type="containsText" dxfId="743" priority="112" operator="containsText" text="10">
      <formula>NOT(ISERROR(SEARCH("10",BT38)))</formula>
    </cfRule>
    <cfRule type="containsText" dxfId="742" priority="113" operator="containsText" text="8">
      <formula>NOT(ISERROR(SEARCH("8",BT38)))</formula>
    </cfRule>
    <cfRule type="containsText" dxfId="741" priority="114" operator="containsText" text="7">
      <formula>NOT(ISERROR(SEARCH("7",BT38)))</formula>
    </cfRule>
    <cfRule type="containsText" dxfId="740" priority="115" operator="containsText" text="4">
      <formula>NOT(ISERROR(SEARCH("4",BT38)))</formula>
    </cfRule>
    <cfRule type="containsText" dxfId="739" priority="116" operator="containsText" text="2">
      <formula>NOT(ISERROR(SEARCH("2",BT38)))</formula>
    </cfRule>
    <cfRule type="containsText" dxfId="738" priority="117" operator="containsText" text="1">
      <formula>NOT(ISERROR(SEARCH("1",BT38)))</formula>
    </cfRule>
    <cfRule type="containsText" dxfId="737" priority="118" operator="containsText" text="6">
      <formula>NOT(ISERROR(SEARCH("6",BT38)))</formula>
    </cfRule>
    <cfRule type="containsText" dxfId="736" priority="119" operator="containsText" text="5">
      <formula>NOT(ISERROR(SEARCH("5",BT38)))</formula>
    </cfRule>
    <cfRule type="containsText" dxfId="735" priority="120" operator="containsText" text="9">
      <formula>NOT(ISERROR(SEARCH("9",BT38)))</formula>
    </cfRule>
  </conditionalFormatting>
  <conditionalFormatting sqref="AY69">
    <cfRule type="containsText" dxfId="734" priority="99" operator="containsText" text="5">
      <formula>NOT(ISERROR(SEARCH("5",AY69)))</formula>
    </cfRule>
    <cfRule type="containsText" dxfId="733" priority="100" operator="containsText" text="3">
      <formula>NOT(ISERROR(SEARCH("3",AY69)))</formula>
    </cfRule>
    <cfRule type="containsText" dxfId="732" priority="101" operator="containsText" text="10">
      <formula>NOT(ISERROR(SEARCH("10",AY69)))</formula>
    </cfRule>
    <cfRule type="containsText" dxfId="731" priority="102" operator="containsText" text="8">
      <formula>NOT(ISERROR(SEARCH("8",AY69)))</formula>
    </cfRule>
    <cfRule type="containsText" dxfId="730" priority="103" operator="containsText" text="7">
      <formula>NOT(ISERROR(SEARCH("7",AY69)))</formula>
    </cfRule>
    <cfRule type="containsText" dxfId="729" priority="104" operator="containsText" text="4">
      <formula>NOT(ISERROR(SEARCH("4",AY69)))</formula>
    </cfRule>
    <cfRule type="containsText" dxfId="728" priority="105" operator="containsText" text="2">
      <formula>NOT(ISERROR(SEARCH("2",AY69)))</formula>
    </cfRule>
    <cfRule type="containsText" dxfId="727" priority="106" operator="containsText" text="1">
      <formula>NOT(ISERROR(SEARCH("1",AY69)))</formula>
    </cfRule>
    <cfRule type="containsText" dxfId="726" priority="107" operator="containsText" text="6">
      <formula>NOT(ISERROR(SEARCH("6",AY69)))</formula>
    </cfRule>
    <cfRule type="containsText" dxfId="725" priority="108" operator="containsText" text="5">
      <formula>NOT(ISERROR(SEARCH("5",AY69)))</formula>
    </cfRule>
    <cfRule type="containsText" dxfId="724" priority="109" operator="containsText" text="9">
      <formula>NOT(ISERROR(SEARCH("9",AY69)))</formula>
    </cfRule>
  </conditionalFormatting>
  <conditionalFormatting sqref="BK78:BL78 BM81:BN81 BO82:BO83 BP83 BQ85:BR86 BS69">
    <cfRule type="containsText" dxfId="723" priority="88" operator="containsText" text="5">
      <formula>NOT(ISERROR(SEARCH("5",BK69)))</formula>
    </cfRule>
    <cfRule type="containsText" dxfId="722" priority="89" operator="containsText" text="3">
      <formula>NOT(ISERROR(SEARCH("3",BK69)))</formula>
    </cfRule>
    <cfRule type="containsText" dxfId="721" priority="90" operator="containsText" text="10">
      <formula>NOT(ISERROR(SEARCH("10",BK69)))</formula>
    </cfRule>
    <cfRule type="containsText" dxfId="720" priority="91" operator="containsText" text="8">
      <formula>NOT(ISERROR(SEARCH("8",BK69)))</formula>
    </cfRule>
    <cfRule type="containsText" dxfId="719" priority="92" operator="containsText" text="7">
      <formula>NOT(ISERROR(SEARCH("7",BK69)))</formula>
    </cfRule>
    <cfRule type="containsText" dxfId="718" priority="93" operator="containsText" text="4">
      <formula>NOT(ISERROR(SEARCH("4",BK69)))</formula>
    </cfRule>
    <cfRule type="containsText" dxfId="717" priority="94" operator="containsText" text="2">
      <formula>NOT(ISERROR(SEARCH("2",BK69)))</formula>
    </cfRule>
    <cfRule type="containsText" dxfId="716" priority="95" operator="containsText" text="1">
      <formula>NOT(ISERROR(SEARCH("1",BK69)))</formula>
    </cfRule>
    <cfRule type="containsText" dxfId="715" priority="96" operator="containsText" text="6">
      <formula>NOT(ISERROR(SEARCH("6",BK69)))</formula>
    </cfRule>
    <cfRule type="containsText" dxfId="714" priority="97" operator="containsText" text="5">
      <formula>NOT(ISERROR(SEARCH("5",BK69)))</formula>
    </cfRule>
    <cfRule type="containsText" dxfId="713" priority="98" operator="containsText" text="9">
      <formula>NOT(ISERROR(SEARCH("9",BK69)))</formula>
    </cfRule>
  </conditionalFormatting>
  <conditionalFormatting sqref="BT69">
    <cfRule type="containsText" dxfId="712" priority="77" operator="containsText" text="5">
      <formula>NOT(ISERROR(SEARCH("5",BT69)))</formula>
    </cfRule>
    <cfRule type="containsText" dxfId="711" priority="78" operator="containsText" text="3">
      <formula>NOT(ISERROR(SEARCH("3",BT69)))</formula>
    </cfRule>
    <cfRule type="containsText" dxfId="710" priority="79" operator="containsText" text="10">
      <formula>NOT(ISERROR(SEARCH("10",BT69)))</formula>
    </cfRule>
    <cfRule type="containsText" dxfId="709" priority="80" operator="containsText" text="8">
      <formula>NOT(ISERROR(SEARCH("8",BT69)))</formula>
    </cfRule>
    <cfRule type="containsText" dxfId="708" priority="81" operator="containsText" text="7">
      <formula>NOT(ISERROR(SEARCH("7",BT69)))</formula>
    </cfRule>
    <cfRule type="containsText" dxfId="707" priority="82" operator="containsText" text="4">
      <formula>NOT(ISERROR(SEARCH("4",BT69)))</formula>
    </cfRule>
    <cfRule type="containsText" dxfId="706" priority="83" operator="containsText" text="2">
      <formula>NOT(ISERROR(SEARCH("2",BT69)))</formula>
    </cfRule>
    <cfRule type="containsText" dxfId="705" priority="84" operator="containsText" text="1">
      <formula>NOT(ISERROR(SEARCH("1",BT69)))</formula>
    </cfRule>
    <cfRule type="containsText" dxfId="704" priority="85" operator="containsText" text="6">
      <formula>NOT(ISERROR(SEARCH("6",BT69)))</formula>
    </cfRule>
    <cfRule type="containsText" dxfId="703" priority="86" operator="containsText" text="5">
      <formula>NOT(ISERROR(SEARCH("5",BT69)))</formula>
    </cfRule>
    <cfRule type="containsText" dxfId="702" priority="87" operator="containsText" text="9">
      <formula>NOT(ISERROR(SEARCH("9",BT69)))</formula>
    </cfRule>
  </conditionalFormatting>
  <conditionalFormatting sqref="BK109:BL109 BM112:BN112 BO113:BO114 BP114 BQ116:BR117 BS100">
    <cfRule type="containsText" dxfId="701" priority="66" operator="containsText" text="5">
      <formula>NOT(ISERROR(SEARCH("5",BK100)))</formula>
    </cfRule>
    <cfRule type="containsText" dxfId="700" priority="67" operator="containsText" text="3">
      <formula>NOT(ISERROR(SEARCH("3",BK100)))</formula>
    </cfRule>
    <cfRule type="containsText" dxfId="699" priority="68" operator="containsText" text="10">
      <formula>NOT(ISERROR(SEARCH("10",BK100)))</formula>
    </cfRule>
    <cfRule type="containsText" dxfId="698" priority="69" operator="containsText" text="8">
      <formula>NOT(ISERROR(SEARCH("8",BK100)))</formula>
    </cfRule>
    <cfRule type="containsText" dxfId="697" priority="70" operator="containsText" text="7">
      <formula>NOT(ISERROR(SEARCH("7",BK100)))</formula>
    </cfRule>
    <cfRule type="containsText" dxfId="696" priority="71" operator="containsText" text="4">
      <formula>NOT(ISERROR(SEARCH("4",BK100)))</formula>
    </cfRule>
    <cfRule type="containsText" dxfId="695" priority="72" operator="containsText" text="2">
      <formula>NOT(ISERROR(SEARCH("2",BK100)))</formula>
    </cfRule>
    <cfRule type="containsText" dxfId="694" priority="73" operator="containsText" text="1">
      <formula>NOT(ISERROR(SEARCH("1",BK100)))</formula>
    </cfRule>
    <cfRule type="containsText" dxfId="693" priority="74" operator="containsText" text="6">
      <formula>NOT(ISERROR(SEARCH("6",BK100)))</formula>
    </cfRule>
    <cfRule type="containsText" dxfId="692" priority="75" operator="containsText" text="5">
      <formula>NOT(ISERROR(SEARCH("5",BK100)))</formula>
    </cfRule>
    <cfRule type="containsText" dxfId="691" priority="76" operator="containsText" text="9">
      <formula>NOT(ISERROR(SEARCH("9",BK100)))</formula>
    </cfRule>
  </conditionalFormatting>
  <conditionalFormatting sqref="BT100">
    <cfRule type="containsText" dxfId="690" priority="55" operator="containsText" text="5">
      <formula>NOT(ISERROR(SEARCH("5",BT100)))</formula>
    </cfRule>
    <cfRule type="containsText" dxfId="689" priority="56" operator="containsText" text="3">
      <formula>NOT(ISERROR(SEARCH("3",BT100)))</formula>
    </cfRule>
    <cfRule type="containsText" dxfId="688" priority="57" operator="containsText" text="10">
      <formula>NOT(ISERROR(SEARCH("10",BT100)))</formula>
    </cfRule>
    <cfRule type="containsText" dxfId="687" priority="58" operator="containsText" text="8">
      <formula>NOT(ISERROR(SEARCH("8",BT100)))</formula>
    </cfRule>
    <cfRule type="containsText" dxfId="686" priority="59" operator="containsText" text="7">
      <formula>NOT(ISERROR(SEARCH("7",BT100)))</formula>
    </cfRule>
    <cfRule type="containsText" dxfId="685" priority="60" operator="containsText" text="4">
      <formula>NOT(ISERROR(SEARCH("4",BT100)))</formula>
    </cfRule>
    <cfRule type="containsText" dxfId="684" priority="61" operator="containsText" text="2">
      <formula>NOT(ISERROR(SEARCH("2",BT100)))</formula>
    </cfRule>
    <cfRule type="containsText" dxfId="683" priority="62" operator="containsText" text="1">
      <formula>NOT(ISERROR(SEARCH("1",BT100)))</formula>
    </cfRule>
    <cfRule type="containsText" dxfId="682" priority="63" operator="containsText" text="6">
      <formula>NOT(ISERROR(SEARCH("6",BT100)))</formula>
    </cfRule>
    <cfRule type="containsText" dxfId="681" priority="64" operator="containsText" text="5">
      <formula>NOT(ISERROR(SEARCH("5",BT100)))</formula>
    </cfRule>
    <cfRule type="containsText" dxfId="680" priority="65" operator="containsText" text="9">
      <formula>NOT(ISERROR(SEARCH("9",BT100)))</formula>
    </cfRule>
  </conditionalFormatting>
  <conditionalFormatting sqref="W140:X140 Y143:Z143 AA144:AA145 AB145 AC147:AD148 AE131">
    <cfRule type="containsText" dxfId="679" priority="44" operator="containsText" text="5">
      <formula>NOT(ISERROR(SEARCH("5",W131)))</formula>
    </cfRule>
    <cfRule type="containsText" dxfId="678" priority="45" operator="containsText" text="3">
      <formula>NOT(ISERROR(SEARCH("3",W131)))</formula>
    </cfRule>
    <cfRule type="containsText" dxfId="677" priority="46" operator="containsText" text="10">
      <formula>NOT(ISERROR(SEARCH("10",W131)))</formula>
    </cfRule>
    <cfRule type="containsText" dxfId="676" priority="47" operator="containsText" text="8">
      <formula>NOT(ISERROR(SEARCH("8",W131)))</formula>
    </cfRule>
    <cfRule type="containsText" dxfId="675" priority="48" operator="containsText" text="7">
      <formula>NOT(ISERROR(SEARCH("7",W131)))</formula>
    </cfRule>
    <cfRule type="containsText" dxfId="674" priority="49" operator="containsText" text="4">
      <formula>NOT(ISERROR(SEARCH("4",W131)))</formula>
    </cfRule>
    <cfRule type="containsText" dxfId="673" priority="50" operator="containsText" text="2">
      <formula>NOT(ISERROR(SEARCH("2",W131)))</formula>
    </cfRule>
    <cfRule type="containsText" dxfId="672" priority="51" operator="containsText" text="1">
      <formula>NOT(ISERROR(SEARCH("1",W131)))</formula>
    </cfRule>
    <cfRule type="containsText" dxfId="671" priority="52" operator="containsText" text="6">
      <formula>NOT(ISERROR(SEARCH("6",W131)))</formula>
    </cfRule>
    <cfRule type="containsText" dxfId="670" priority="53" operator="containsText" text="5">
      <formula>NOT(ISERROR(SEARCH("5",W131)))</formula>
    </cfRule>
    <cfRule type="containsText" dxfId="669" priority="54" operator="containsText" text="9">
      <formula>NOT(ISERROR(SEARCH("9",W131)))</formula>
    </cfRule>
  </conditionalFormatting>
  <conditionalFormatting sqref="AF131">
    <cfRule type="containsText" dxfId="668" priority="33" operator="containsText" text="5">
      <formula>NOT(ISERROR(SEARCH("5",AF131)))</formula>
    </cfRule>
    <cfRule type="containsText" dxfId="667" priority="34" operator="containsText" text="3">
      <formula>NOT(ISERROR(SEARCH("3",AF131)))</formula>
    </cfRule>
    <cfRule type="containsText" dxfId="666" priority="35" operator="containsText" text="10">
      <formula>NOT(ISERROR(SEARCH("10",AF131)))</formula>
    </cfRule>
    <cfRule type="containsText" dxfId="665" priority="36" operator="containsText" text="8">
      <formula>NOT(ISERROR(SEARCH("8",AF131)))</formula>
    </cfRule>
    <cfRule type="containsText" dxfId="664" priority="37" operator="containsText" text="7">
      <formula>NOT(ISERROR(SEARCH("7",AF131)))</formula>
    </cfRule>
    <cfRule type="containsText" dxfId="663" priority="38" operator="containsText" text="4">
      <formula>NOT(ISERROR(SEARCH("4",AF131)))</formula>
    </cfRule>
    <cfRule type="containsText" dxfId="662" priority="39" operator="containsText" text="2">
      <formula>NOT(ISERROR(SEARCH("2",AF131)))</formula>
    </cfRule>
    <cfRule type="containsText" dxfId="661" priority="40" operator="containsText" text="1">
      <formula>NOT(ISERROR(SEARCH("1",AF131)))</formula>
    </cfRule>
    <cfRule type="containsText" dxfId="660" priority="41" operator="containsText" text="6">
      <formula>NOT(ISERROR(SEARCH("6",AF131)))</formula>
    </cfRule>
    <cfRule type="containsText" dxfId="659" priority="42" operator="containsText" text="5">
      <formula>NOT(ISERROR(SEARCH("5",AF131)))</formula>
    </cfRule>
    <cfRule type="containsText" dxfId="658" priority="43" operator="containsText" text="9">
      <formula>NOT(ISERROR(SEARCH("9",AF131)))</formula>
    </cfRule>
  </conditionalFormatting>
  <conditionalFormatting sqref="B3:L3">
    <cfRule type="containsText" dxfId="616" priority="32" operator="containsText" text="FE">
      <formula>NOT(ISERROR(SEARCH("FE",B3)))</formula>
    </cfRule>
  </conditionalFormatting>
  <pageMargins left="0.70866141732283472" right="0.70866141732283472" top="0.74803149606299213" bottom="0.74803149606299213" header="0.31496062992125984" footer="0.31496062992125984"/>
  <pageSetup scale="75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8" id="{AD2A159E-4B53-4EB4-A2B6-DF16D25BCB98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23" id="{12662F45-9B3A-4C08-8691-D4B89F35427D}">
            <xm:f>Escala!$I$19="FE"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C35:L35</xm:sqref>
        </x14:conditionalFormatting>
        <x14:conditionalFormatting xmlns:xm="http://schemas.microsoft.com/office/excel/2006/main">
          <x14:cfRule type="expression" priority="4289" id="{2B938B75-CBB1-4EDE-BF99-5B39F7B1D8EE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22" id="{6203EAA1-DF7E-4C8F-A2C6-DB280D382FA5}">
            <xm:f>Escala!$J$19="FE"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M35:V35</xm:sqref>
        </x14:conditionalFormatting>
        <x14:conditionalFormatting xmlns:xm="http://schemas.microsoft.com/office/excel/2006/main">
          <x14:cfRule type="expression" priority="4290" id="{B85F3B5E-601E-4770-8A4B-505CEE67AEAA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21" id="{6F404976-2F83-4384-BA1B-6940EB3E566E}">
            <xm:f>Escala!$K$19="FE"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20" id="{932174B3-3935-4DFB-80FD-33E337336236}">
            <xm:f>Escala!$K$19="FE"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W35:AF35</xm:sqref>
        </x14:conditionalFormatting>
        <x14:conditionalFormatting xmlns:xm="http://schemas.microsoft.com/office/excel/2006/main">
          <x14:cfRule type="expression" priority="4291" id="{9575A23F-1825-4768-A70E-35C0F81BE667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19" id="{4D898C73-C9EA-4758-8D76-BC0411CF6669}">
            <xm:f>Escala!$L$19="FE"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AG35:AP35</xm:sqref>
        </x14:conditionalFormatting>
        <x14:conditionalFormatting xmlns:xm="http://schemas.microsoft.com/office/excel/2006/main">
          <x14:cfRule type="expression" priority="4292" id="{BB70D3C3-E39E-4836-ADB8-8D4A32528B4E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18" id="{8EF0F135-E437-407F-B4C9-551511F2AA6E}">
            <xm:f>Escala!$M$19="FE"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AQ35:AZ35</xm:sqref>
        </x14:conditionalFormatting>
        <x14:conditionalFormatting xmlns:xm="http://schemas.microsoft.com/office/excel/2006/main">
          <x14:cfRule type="expression" priority="4293" id="{7879B7DD-2C56-42DB-865E-DCF671F4BDFD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17" id="{C4FB958F-8B0C-4AC5-936A-314F545E1215}">
            <xm:f>Escala!$N$19="FE"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BA35:BJ35</xm:sqref>
        </x14:conditionalFormatting>
        <x14:conditionalFormatting xmlns:xm="http://schemas.microsoft.com/office/excel/2006/main">
          <x14:cfRule type="expression" priority="4294" id="{BFBCF83E-8861-4857-BE2C-20437F5B3400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BK35:BT35 C66:L66</xm:sqref>
        </x14:conditionalFormatting>
        <x14:conditionalFormatting xmlns:xm="http://schemas.microsoft.com/office/excel/2006/main">
          <x14:cfRule type="expression" priority="4296" id="{85B48B56-150A-4B25-830A-8AA0473C6445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13" id="{0785B739-8EFE-404A-A71B-E0A0259C6C26}">
            <xm:f>Escala!$Q$19="FE"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M66:V66</xm:sqref>
        </x14:conditionalFormatting>
        <x14:conditionalFormatting xmlns:xm="http://schemas.microsoft.com/office/excel/2006/main">
          <x14:cfRule type="expression" priority="4297" id="{BE2EB4CB-51B2-4A79-B747-1D97E611F316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12" id="{27D3B068-1B86-40D6-A5DD-19EE45DF271D}">
            <xm:f>Escala!$R$19="FE"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W66:AF66</xm:sqref>
        </x14:conditionalFormatting>
        <x14:conditionalFormatting xmlns:xm="http://schemas.microsoft.com/office/excel/2006/main">
          <x14:cfRule type="expression" priority="4298" id="{F0F095AD-857A-476C-BCB3-8F540EC98E82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11" id="{FF7DEFC5-58A2-4ABB-8C2C-E453E298457D}">
            <xm:f>Escala!$S$19="FE"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AG66:AP66</xm:sqref>
        </x14:conditionalFormatting>
        <x14:conditionalFormatting xmlns:xm="http://schemas.microsoft.com/office/excel/2006/main">
          <x14:cfRule type="expression" priority="4299" id="{07F58296-2C40-4C89-8DDB-3A5801DCA197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10" id="{D2129B98-8888-4937-BCCC-EB4D9A02671E}">
            <xm:f>Escala!$U$19="FE"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AQ66:AZ66</xm:sqref>
        </x14:conditionalFormatting>
        <x14:conditionalFormatting xmlns:xm="http://schemas.microsoft.com/office/excel/2006/main">
          <x14:cfRule type="expression" priority="4300" id="{0F83FD03-9DCF-48EB-A0FD-8025E94E8126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9" id="{B8B7D7E1-EEC3-4D6B-B1D2-90025F3FC49B}">
            <xm:f>Escala!$U$19="FE"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BA66:BJ66</xm:sqref>
        </x14:conditionalFormatting>
        <x14:conditionalFormatting xmlns:xm="http://schemas.microsoft.com/office/excel/2006/main">
          <x14:cfRule type="expression" priority="4301" id="{33785562-B414-4BD2-AFD3-6E566B205229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8" id="{47523D69-8A54-48C6-8D3E-B140F5B89BB8}">
            <xm:f>Escala!$V$19="FE"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BK66:BT66</xm:sqref>
        </x14:conditionalFormatting>
        <x14:conditionalFormatting xmlns:xm="http://schemas.microsoft.com/office/excel/2006/main">
          <x14:cfRule type="expression" priority="4302" id="{32D563D2-C9DE-4B5B-AB71-033F402301BF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7" id="{90D5B465-7B56-434B-9D94-4789BDD24DCE}">
            <xm:f>Escala!$W$19="FE"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C97:L97</xm:sqref>
        </x14:conditionalFormatting>
        <x14:conditionalFormatting xmlns:xm="http://schemas.microsoft.com/office/excel/2006/main">
          <x14:cfRule type="expression" priority="4303" id="{A628681B-E2E9-4F88-AD04-B853B49E0237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6" id="{2C603C9B-2E69-49EC-BE1B-573C8C9362C9}">
            <xm:f>Escala!$X$19="FE"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M97:V97</xm:sqref>
        </x14:conditionalFormatting>
        <x14:conditionalFormatting xmlns:xm="http://schemas.microsoft.com/office/excel/2006/main">
          <x14:cfRule type="expression" priority="4304" id="{5982ADDB-E40A-41FD-B186-7358865F00EC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5" id="{338DB2B1-B8FF-4020-8DCE-806B60517EF7}">
            <xm:f>Escala!$Y$19="FE"</xm:f>
            <x14:dxf/>
          </x14:cfRule>
          <xm:sqref>W97:AF97</xm:sqref>
        </x14:conditionalFormatting>
        <x14:conditionalFormatting xmlns:xm="http://schemas.microsoft.com/office/excel/2006/main">
          <x14:cfRule type="expression" priority="4305" id="{E0320AB1-1DC6-45AB-84A2-7862189BABB5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4" id="{FB64DEC0-51B7-484E-B36D-892F4A40A850}">
            <xm:f>Escala!$Z$19="FE"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AG97:AP97</xm:sqref>
        </x14:conditionalFormatting>
        <x14:conditionalFormatting xmlns:xm="http://schemas.microsoft.com/office/excel/2006/main">
          <x14:cfRule type="expression" priority="4306" id="{38E2316C-4F3F-4983-AD5E-5E2EAFAE5396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AQ97:AZ97</xm:sqref>
        </x14:conditionalFormatting>
        <x14:conditionalFormatting xmlns:xm="http://schemas.microsoft.com/office/excel/2006/main">
          <x14:cfRule type="expression" priority="4307" id="{76109F6C-AF8B-4C5C-A89D-ECC57147A02D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3" id="{6DA6DC47-FF76-4F25-9B4B-0E7BDB49C2F4}">
            <xm:f>Escala!$AB$19="FE"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BA97:BJ97</xm:sqref>
        </x14:conditionalFormatting>
        <x14:conditionalFormatting xmlns:xm="http://schemas.microsoft.com/office/excel/2006/main">
          <x14:cfRule type="expression" priority="4308" id="{D8BEC210-4135-4EAE-B653-7CC99E9DFDC3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2" id="{17D247AD-42E0-4EA8-8619-A389AD0962F7}">
            <xm:f>Escala!$AC$19="FE"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BK97:BT97</xm:sqref>
        </x14:conditionalFormatting>
        <x14:conditionalFormatting xmlns:xm="http://schemas.microsoft.com/office/excel/2006/main">
          <x14:cfRule type="expression" priority="4309" id="{D4B40ED1-F831-400E-9FA3-AF925DD4B2E7}">
            <xm:f>Configuração!#REF!="Feriado"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expression" priority="1" id="{863AB11E-D8AF-45D4-B15B-852C81A6A72E}">
            <xm:f>Escala!$AD$19="FE"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C128:L128</xm:sqref>
        </x14:conditionalFormatting>
        <x14:conditionalFormatting xmlns:xm="http://schemas.microsoft.com/office/excel/2006/main">
          <x14:cfRule type="expression" priority="4310" id="{2A5C14A8-67F4-46A0-B9CC-EFCC21C99C5B}">
            <xm:f>Escala!$AE$19="FE"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M128:V128</xm:sqref>
        </x14:conditionalFormatting>
        <x14:conditionalFormatting xmlns:xm="http://schemas.microsoft.com/office/excel/2006/main">
          <x14:cfRule type="expression" priority="4311" id="{4164610B-B4BF-4833-AB52-F1B1AA2130EA}">
            <xm:f>Escala!$AF$19="FE"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W128:AF128</xm:sqref>
        </x14:conditionalFormatting>
        <x14:conditionalFormatting xmlns:xm="http://schemas.microsoft.com/office/excel/2006/main">
          <x14:cfRule type="expression" priority="31" id="{D371707C-5F9B-4374-913A-1B9C10EFE879}">
            <xm:f>Escala!$B$19="FE"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C4:L4</xm:sqref>
        </x14:conditionalFormatting>
        <x14:conditionalFormatting xmlns:xm="http://schemas.microsoft.com/office/excel/2006/main">
          <x14:cfRule type="expression" priority="29" id="{D86C9703-B9F7-41F4-BF36-8AF0D8F59C86}">
            <xm:f>Escala!$D$19="FE"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W4:AF4</xm:sqref>
        </x14:conditionalFormatting>
        <x14:conditionalFormatting xmlns:xm="http://schemas.microsoft.com/office/excel/2006/main">
          <x14:cfRule type="expression" priority="28" id="{503B9901-33E5-418E-A5E4-FD396CAD160E}">
            <xm:f>Escala!$C$19="FE"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M4:V4</xm:sqref>
        </x14:conditionalFormatting>
        <x14:conditionalFormatting xmlns:xm="http://schemas.microsoft.com/office/excel/2006/main">
          <x14:cfRule type="expression" priority="27" id="{D6AF033C-4453-4F4A-BFB4-52F7161237C9}">
            <xm:f>Escala!$E$19="FE"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AG4:AP4</xm:sqref>
        </x14:conditionalFormatting>
        <x14:conditionalFormatting xmlns:xm="http://schemas.microsoft.com/office/excel/2006/main">
          <x14:cfRule type="expression" priority="26" id="{0B5F8CCC-9C38-4878-AF6F-4D4B8080E1A7}">
            <xm:f>Escala!$F$19="FE"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AQ4:AZ4</xm:sqref>
        </x14:conditionalFormatting>
        <x14:conditionalFormatting xmlns:xm="http://schemas.microsoft.com/office/excel/2006/main">
          <x14:cfRule type="expression" priority="25" id="{0094D059-68CE-44FA-B5C7-B0B95805EFEF}">
            <xm:f>Escala!$G$19="FE"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BA4:BJ4</xm:sqref>
        </x14:conditionalFormatting>
        <x14:conditionalFormatting xmlns:xm="http://schemas.microsoft.com/office/excel/2006/main">
          <x14:cfRule type="expression" priority="24" id="{FEEDFFA7-B4EF-4525-9164-CC63A6664348}">
            <xm:f>Escala!$H$19="FE"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BK4:BT4</xm:sqref>
        </x14:conditionalFormatting>
        <x14:conditionalFormatting xmlns:xm="http://schemas.microsoft.com/office/excel/2006/main">
          <x14:cfRule type="expression" priority="16" id="{0222DA7D-8F08-4217-8733-23362019A0FF}">
            <xm:f>Escala!$O$19="FE"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BK35:BT35</xm:sqref>
        </x14:conditionalFormatting>
        <x14:conditionalFormatting xmlns:xm="http://schemas.microsoft.com/office/excel/2006/main">
          <x14:cfRule type="expression" priority="15" id="{6C79B361-95D3-4CB7-86FA-1714DCF7859D}">
            <xm:f>Escala!$P$19="FE"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C66:L66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B142D-EE95-468D-A47C-DA01B35841A0}">
  <sheetPr codeName="Planilha1"/>
  <dimension ref="A1:DW204"/>
  <sheetViews>
    <sheetView zoomScale="90" zoomScaleNormal="90" workbookViewId="0">
      <selection activeCell="E17" sqref="E17"/>
    </sheetView>
  </sheetViews>
  <sheetFormatPr defaultColWidth="10" defaultRowHeight="15" x14ac:dyDescent="0.25"/>
  <cols>
    <col min="1" max="1" width="10.85546875" style="17" bestFit="1" customWidth="1"/>
    <col min="2" max="2" width="11.5703125" style="17" bestFit="1" customWidth="1"/>
    <col min="3" max="3" width="7.140625" style="17" bestFit="1" customWidth="1"/>
    <col min="4" max="4" width="8.42578125" style="17" bestFit="1" customWidth="1"/>
    <col min="5" max="6" width="9.42578125" style="17" bestFit="1" customWidth="1"/>
    <col min="7" max="7" width="8.42578125" style="17" bestFit="1" customWidth="1"/>
    <col min="8" max="34" width="8" style="17" bestFit="1" customWidth="1"/>
    <col min="35" max="35" width="5.140625" style="17" bestFit="1" customWidth="1"/>
    <col min="36" max="36" width="14.85546875" style="17" customWidth="1"/>
    <col min="37" max="37" width="8.7109375" style="17" bestFit="1" customWidth="1"/>
    <col min="38" max="38" width="17.5703125" style="17" bestFit="1" customWidth="1"/>
    <col min="39" max="39" width="6.42578125" style="17" bestFit="1" customWidth="1"/>
    <col min="40" max="40" width="11.5703125" style="17" bestFit="1" customWidth="1"/>
    <col min="41" max="16384" width="10" style="17"/>
  </cols>
  <sheetData>
    <row r="1" spans="1:77" ht="59.25" customHeight="1" x14ac:dyDescent="0.25">
      <c r="A1" s="56"/>
      <c r="B1" s="57"/>
      <c r="C1" s="58"/>
      <c r="D1" s="58"/>
      <c r="E1" s="58"/>
      <c r="F1" s="58"/>
      <c r="G1" s="58"/>
      <c r="H1" s="59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</row>
    <row r="2" spans="1:77" ht="86.25" customHeight="1" x14ac:dyDescent="0.25">
      <c r="A2" s="60"/>
      <c r="B2" s="42"/>
      <c r="C2" s="42"/>
      <c r="D2" s="42"/>
      <c r="E2" s="42"/>
      <c r="F2" s="42"/>
      <c r="G2" s="42"/>
      <c r="H2" s="61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</row>
    <row r="3" spans="1:77" x14ac:dyDescent="0.25"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</row>
    <row r="4" spans="1:77" x14ac:dyDescent="0.25"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</row>
    <row r="5" spans="1:77" x14ac:dyDescent="0.25"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</row>
    <row r="6" spans="1:77" ht="15.75" thickBot="1" x14ac:dyDescent="0.3"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</row>
    <row r="7" spans="1:77" ht="24.75" thickBot="1" x14ac:dyDescent="0.3">
      <c r="B7" s="170" t="s">
        <v>72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2"/>
      <c r="AK7" s="81" t="s">
        <v>42</v>
      </c>
      <c r="AL7" s="68" t="s">
        <v>50</v>
      </c>
      <c r="AM7" s="81" t="s">
        <v>49</v>
      </c>
      <c r="AN7" s="81" t="s">
        <v>77</v>
      </c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</row>
    <row r="8" spans="1:77" ht="15.75" thickBot="1" x14ac:dyDescent="0.3">
      <c r="B8" s="91"/>
      <c r="C8" s="23"/>
      <c r="D8" s="89" t="str">
        <f>UPPER(TEXT(D9,"[$]ddd"))</f>
        <v>QUA</v>
      </c>
      <c r="E8" s="89" t="str">
        <f t="shared" ref="E8:O8" si="0">UPPER(TEXT(E9,"[$]ddd"))</f>
        <v>QUI</v>
      </c>
      <c r="F8" s="89" t="str">
        <f t="shared" si="0"/>
        <v>SEX</v>
      </c>
      <c r="G8" s="89" t="str">
        <f t="shared" si="0"/>
        <v>SÁB</v>
      </c>
      <c r="H8" s="89" t="str">
        <f t="shared" si="0"/>
        <v>DOM</v>
      </c>
      <c r="I8" s="89" t="str">
        <f t="shared" si="0"/>
        <v>SEG</v>
      </c>
      <c r="J8" s="89" t="str">
        <f t="shared" si="0"/>
        <v>TER</v>
      </c>
      <c r="K8" s="89" t="str">
        <f t="shared" si="0"/>
        <v>QUA</v>
      </c>
      <c r="L8" s="89" t="str">
        <f t="shared" si="0"/>
        <v>QUI</v>
      </c>
      <c r="M8" s="90" t="str">
        <f t="shared" si="0"/>
        <v>SEX</v>
      </c>
      <c r="N8" s="89" t="str">
        <f t="shared" si="0"/>
        <v>SÁB</v>
      </c>
      <c r="O8" s="89" t="str">
        <f t="shared" si="0"/>
        <v>DOM</v>
      </c>
      <c r="P8" s="89" t="str">
        <f t="shared" ref="P8" si="1">UPPER(TEXT(P9,"[$]ddd"))</f>
        <v>SEG</v>
      </c>
      <c r="Q8" s="89" t="str">
        <f t="shared" ref="Q8" si="2">UPPER(TEXT(Q9,"[$]ddd"))</f>
        <v>TER</v>
      </c>
      <c r="R8" s="89" t="str">
        <f t="shared" ref="R8" si="3">UPPER(TEXT(R9,"[$]ddd"))</f>
        <v>QUA</v>
      </c>
      <c r="S8" s="89" t="str">
        <f t="shared" ref="S8" si="4">UPPER(TEXT(S9,"[$]ddd"))</f>
        <v>QUI</v>
      </c>
      <c r="T8" s="89" t="str">
        <f t="shared" ref="T8" si="5">UPPER(TEXT(T9,"[$]ddd"))</f>
        <v>SEX</v>
      </c>
      <c r="U8" s="89" t="str">
        <f t="shared" ref="U8" si="6">UPPER(TEXT(U9,"[$]ddd"))</f>
        <v>SÁB</v>
      </c>
      <c r="V8" s="89" t="str">
        <f t="shared" ref="V8" si="7">UPPER(TEXT(V9,"[$]ddd"))</f>
        <v>DOM</v>
      </c>
      <c r="W8" s="89" t="str">
        <f t="shared" ref="W8" si="8">UPPER(TEXT(W9,"[$]ddd"))</f>
        <v>SEG</v>
      </c>
      <c r="X8" s="89" t="str">
        <f t="shared" ref="X8" si="9">UPPER(TEXT(X9,"[$]ddd"))</f>
        <v>TER</v>
      </c>
      <c r="Y8" s="90" t="str">
        <f t="shared" ref="Y8" si="10">UPPER(TEXT(Y9,"[$]ddd"))</f>
        <v>QUA</v>
      </c>
      <c r="Z8" s="89" t="str">
        <f t="shared" ref="Z8" si="11">UPPER(TEXT(Z9,"[$]ddd"))</f>
        <v>QUI</v>
      </c>
      <c r="AA8" s="90" t="str">
        <f t="shared" ref="AA8" si="12">UPPER(TEXT(AA9,"[$]ddd"))</f>
        <v>SEX</v>
      </c>
      <c r="AB8" s="89" t="str">
        <f t="shared" ref="AB8" si="13">UPPER(TEXT(AB9,"[$]ddd"))</f>
        <v>SÁB</v>
      </c>
      <c r="AC8" s="90" t="str">
        <f t="shared" ref="AC8" si="14">UPPER(TEXT(AC9,"[$]ddd"))</f>
        <v>DOM</v>
      </c>
      <c r="AD8" s="89" t="str">
        <f t="shared" ref="AD8" si="15">UPPER(TEXT(AD9,"[$]ddd"))</f>
        <v>SEG</v>
      </c>
      <c r="AE8" s="90" t="str">
        <f t="shared" ref="AE8" si="16">UPPER(TEXT(AE9,"[$]ddd"))</f>
        <v>TER</v>
      </c>
      <c r="AF8" s="89" t="str">
        <f t="shared" ref="AF8" si="17">UPPER(TEXT(AF9,"[$]ddd"))</f>
        <v>QUA</v>
      </c>
      <c r="AG8" s="90" t="str">
        <f t="shared" ref="AG8" si="18">UPPER(TEXT(AG9,"[$]ddd"))</f>
        <v>QUI</v>
      </c>
      <c r="AH8" s="89" t="str">
        <f>UPPER(TEXT(AH9,"[$]ddd"))</f>
        <v>SEX</v>
      </c>
      <c r="AK8" s="23" t="s">
        <v>61</v>
      </c>
      <c r="AL8" s="93" t="s">
        <v>47</v>
      </c>
      <c r="AM8" s="93" cm="1">
        <f t="array" ref="AM8">ContarFerias(Escala!B9:AF9)</f>
        <v>0</v>
      </c>
      <c r="AN8" s="83" t="s">
        <v>30</v>
      </c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</row>
    <row r="9" spans="1:77" ht="15.75" thickBot="1" x14ac:dyDescent="0.3">
      <c r="A9" s="23"/>
      <c r="B9" s="94" t="s">
        <v>35</v>
      </c>
      <c r="C9" s="94" t="s">
        <v>71</v>
      </c>
      <c r="D9" s="95">
        <f>Escala!B21</f>
        <v>45413</v>
      </c>
      <c r="E9" s="96">
        <f>D9+1</f>
        <v>45414</v>
      </c>
      <c r="F9" s="96">
        <f t="shared" ref="F9:AH9" si="19">E9+1</f>
        <v>45415</v>
      </c>
      <c r="G9" s="96">
        <f t="shared" si="19"/>
        <v>45416</v>
      </c>
      <c r="H9" s="96">
        <f t="shared" si="19"/>
        <v>45417</v>
      </c>
      <c r="I9" s="96">
        <f t="shared" si="19"/>
        <v>45418</v>
      </c>
      <c r="J9" s="96">
        <f t="shared" si="19"/>
        <v>45419</v>
      </c>
      <c r="K9" s="96">
        <f t="shared" si="19"/>
        <v>45420</v>
      </c>
      <c r="L9" s="96">
        <f t="shared" si="19"/>
        <v>45421</v>
      </c>
      <c r="M9" s="96">
        <f t="shared" si="19"/>
        <v>45422</v>
      </c>
      <c r="N9" s="96">
        <f t="shared" si="19"/>
        <v>45423</v>
      </c>
      <c r="O9" s="96">
        <f t="shared" si="19"/>
        <v>45424</v>
      </c>
      <c r="P9" s="96">
        <f t="shared" si="19"/>
        <v>45425</v>
      </c>
      <c r="Q9" s="96">
        <f t="shared" si="19"/>
        <v>45426</v>
      </c>
      <c r="R9" s="96">
        <f t="shared" si="19"/>
        <v>45427</v>
      </c>
      <c r="S9" s="96">
        <f t="shared" si="19"/>
        <v>45428</v>
      </c>
      <c r="T9" s="96">
        <f t="shared" si="19"/>
        <v>45429</v>
      </c>
      <c r="U9" s="96">
        <f t="shared" si="19"/>
        <v>45430</v>
      </c>
      <c r="V9" s="96">
        <f t="shared" si="19"/>
        <v>45431</v>
      </c>
      <c r="W9" s="96">
        <f t="shared" si="19"/>
        <v>45432</v>
      </c>
      <c r="X9" s="96">
        <f t="shared" si="19"/>
        <v>45433</v>
      </c>
      <c r="Y9" s="96">
        <f t="shared" si="19"/>
        <v>45434</v>
      </c>
      <c r="Z9" s="96">
        <f t="shared" si="19"/>
        <v>45435</v>
      </c>
      <c r="AA9" s="96">
        <f t="shared" si="19"/>
        <v>45436</v>
      </c>
      <c r="AB9" s="96">
        <f t="shared" si="19"/>
        <v>45437</v>
      </c>
      <c r="AC9" s="96">
        <f t="shared" si="19"/>
        <v>45438</v>
      </c>
      <c r="AD9" s="96">
        <f t="shared" si="19"/>
        <v>45439</v>
      </c>
      <c r="AE9" s="96">
        <f t="shared" si="19"/>
        <v>45440</v>
      </c>
      <c r="AF9" s="96">
        <f t="shared" si="19"/>
        <v>45441</v>
      </c>
      <c r="AG9" s="96">
        <f t="shared" si="19"/>
        <v>45442</v>
      </c>
      <c r="AH9" s="97">
        <f t="shared" si="19"/>
        <v>45443</v>
      </c>
      <c r="AK9" s="23"/>
      <c r="AL9" s="93" t="s">
        <v>56</v>
      </c>
      <c r="AM9" s="93" cm="1">
        <f t="array" ref="AM9">ContarFerias(Escala!B10:AF10)</f>
        <v>1</v>
      </c>
      <c r="AN9" s="83" t="s">
        <v>29</v>
      </c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</row>
    <row r="10" spans="1:77" x14ac:dyDescent="0.25">
      <c r="A10" s="211" t="s">
        <v>36</v>
      </c>
      <c r="B10" s="34" t="s">
        <v>30</v>
      </c>
      <c r="C10" s="34" t="s">
        <v>53</v>
      </c>
      <c r="D10" s="69" t="s">
        <v>43</v>
      </c>
      <c r="E10" s="69" t="s">
        <v>44</v>
      </c>
      <c r="F10" s="69" t="s">
        <v>44</v>
      </c>
      <c r="G10" s="69" t="s">
        <v>44</v>
      </c>
      <c r="H10" s="69" t="s">
        <v>44</v>
      </c>
      <c r="I10" s="69" t="s">
        <v>44</v>
      </c>
      <c r="J10" s="69" t="s">
        <v>44</v>
      </c>
      <c r="K10" s="69" t="s">
        <v>44</v>
      </c>
      <c r="L10" s="69" t="s">
        <v>44</v>
      </c>
      <c r="M10" s="69" t="s">
        <v>44</v>
      </c>
      <c r="N10" s="69" t="s">
        <v>44</v>
      </c>
      <c r="O10" s="69" t="s">
        <v>44</v>
      </c>
      <c r="P10" s="69" t="s">
        <v>44</v>
      </c>
      <c r="Q10" s="69" t="s">
        <v>44</v>
      </c>
      <c r="R10" s="69" t="s">
        <v>44</v>
      </c>
      <c r="S10" s="69" t="s">
        <v>44</v>
      </c>
      <c r="T10" s="69" t="s">
        <v>44</v>
      </c>
      <c r="U10" s="69" t="s">
        <v>44</v>
      </c>
      <c r="V10" s="69" t="s">
        <v>44</v>
      </c>
      <c r="W10" s="69" t="s">
        <v>44</v>
      </c>
      <c r="X10" s="69" t="s">
        <v>44</v>
      </c>
      <c r="Y10" s="69" t="s">
        <v>44</v>
      </c>
      <c r="Z10" s="69" t="s">
        <v>44</v>
      </c>
      <c r="AA10" s="69" t="s">
        <v>44</v>
      </c>
      <c r="AB10" s="69" t="s">
        <v>44</v>
      </c>
      <c r="AC10" s="69" t="s">
        <v>44</v>
      </c>
      <c r="AD10" s="69" t="s">
        <v>44</v>
      </c>
      <c r="AE10" s="69" t="s">
        <v>44</v>
      </c>
      <c r="AF10" s="69" t="s">
        <v>44</v>
      </c>
      <c r="AG10" s="69" t="s">
        <v>44</v>
      </c>
      <c r="AH10" s="69" t="s">
        <v>44</v>
      </c>
      <c r="AK10" s="23"/>
      <c r="AL10" s="93" t="s">
        <v>46</v>
      </c>
      <c r="AM10" s="93" cm="1">
        <f t="array" ref="AM10">ContarFerias(Escala!B11:AF11)</f>
        <v>0</v>
      </c>
      <c r="AN10" s="83" t="s">
        <v>33</v>
      </c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</row>
    <row r="11" spans="1:77" x14ac:dyDescent="0.25">
      <c r="A11" s="213"/>
      <c r="B11" s="33" t="s">
        <v>30</v>
      </c>
      <c r="C11" s="33" t="s">
        <v>53</v>
      </c>
      <c r="D11" s="69" t="s">
        <v>74</v>
      </c>
      <c r="E11" s="69" t="s">
        <v>56</v>
      </c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K11" s="23"/>
      <c r="AL11" s="93" t="s">
        <v>58</v>
      </c>
      <c r="AM11" s="93" cm="1">
        <f t="array" ref="AM11">ContarFerias(Escala!B12:AF12)</f>
        <v>0</v>
      </c>
      <c r="AN11" s="83" t="s">
        <v>34</v>
      </c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</row>
    <row r="12" spans="1:77" x14ac:dyDescent="0.25">
      <c r="A12" s="213"/>
      <c r="B12" s="33" t="s">
        <v>29</v>
      </c>
      <c r="C12" s="33" t="s">
        <v>53</v>
      </c>
      <c r="D12" s="69" t="s">
        <v>45</v>
      </c>
      <c r="E12" s="69" t="s">
        <v>46</v>
      </c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K12" s="23"/>
      <c r="AL12" s="93" t="s">
        <v>43</v>
      </c>
      <c r="AM12" s="93" cm="1">
        <f t="array" ref="AM12">ContarFerias(Escala!B13:AF13)</f>
        <v>0</v>
      </c>
      <c r="AN12" s="83" t="s">
        <v>78</v>
      </c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</row>
    <row r="13" spans="1:77" x14ac:dyDescent="0.25">
      <c r="A13" s="213"/>
      <c r="B13" s="33" t="s">
        <v>29</v>
      </c>
      <c r="C13" s="33" t="s">
        <v>53</v>
      </c>
      <c r="D13" s="69" t="s">
        <v>59</v>
      </c>
      <c r="E13" s="69" t="s">
        <v>43</v>
      </c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K13" s="23"/>
      <c r="AL13" s="93" t="s">
        <v>45</v>
      </c>
      <c r="AM13" s="93" cm="1">
        <f t="array" ref="AM13">ContarFerias(Escala!B14:AF14)</f>
        <v>0</v>
      </c>
      <c r="AN13" s="8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</row>
    <row r="14" spans="1:77" ht="15" customHeight="1" x14ac:dyDescent="0.25">
      <c r="A14" s="213"/>
      <c r="B14" s="33" t="s">
        <v>33</v>
      </c>
      <c r="C14" s="33" t="s">
        <v>53</v>
      </c>
      <c r="D14" s="69" t="s">
        <v>56</v>
      </c>
      <c r="E14" s="69" t="s">
        <v>56</v>
      </c>
      <c r="F14" s="69" t="s">
        <v>56</v>
      </c>
      <c r="G14" s="69" t="s">
        <v>56</v>
      </c>
      <c r="H14" s="69" t="s">
        <v>56</v>
      </c>
      <c r="I14" s="69" t="s">
        <v>56</v>
      </c>
      <c r="J14" s="69" t="s">
        <v>56</v>
      </c>
      <c r="K14" s="69" t="s">
        <v>56</v>
      </c>
      <c r="L14" s="69" t="s">
        <v>56</v>
      </c>
      <c r="M14" s="69" t="s">
        <v>56</v>
      </c>
      <c r="N14" s="69" t="s">
        <v>56</v>
      </c>
      <c r="O14" s="69" t="s">
        <v>56</v>
      </c>
      <c r="P14" s="69" t="s">
        <v>56</v>
      </c>
      <c r="Q14" s="69" t="s">
        <v>56</v>
      </c>
      <c r="R14" s="69" t="s">
        <v>56</v>
      </c>
      <c r="S14" s="69" t="s">
        <v>56</v>
      </c>
      <c r="T14" s="69" t="s">
        <v>56</v>
      </c>
      <c r="U14" s="69" t="s">
        <v>56</v>
      </c>
      <c r="V14" s="69" t="s">
        <v>56</v>
      </c>
      <c r="W14" s="69" t="s">
        <v>56</v>
      </c>
      <c r="X14" s="69" t="s">
        <v>56</v>
      </c>
      <c r="Y14" s="69" t="s">
        <v>56</v>
      </c>
      <c r="Z14" s="69" t="s">
        <v>56</v>
      </c>
      <c r="AA14" s="69" t="s">
        <v>56</v>
      </c>
      <c r="AB14" s="69" t="s">
        <v>56</v>
      </c>
      <c r="AC14" s="69" t="s">
        <v>56</v>
      </c>
      <c r="AD14" s="69" t="s">
        <v>56</v>
      </c>
      <c r="AE14" s="69" t="s">
        <v>56</v>
      </c>
      <c r="AF14" s="69" t="s">
        <v>56</v>
      </c>
      <c r="AG14" s="69" t="s">
        <v>56</v>
      </c>
      <c r="AH14" s="69" t="s">
        <v>56</v>
      </c>
      <c r="AK14" s="23"/>
      <c r="AL14" s="93" t="s">
        <v>59</v>
      </c>
      <c r="AM14" s="93" cm="1">
        <f t="array" ref="AM14">ContarFerias(Escala!B15:AF15)</f>
        <v>0</v>
      </c>
      <c r="AN14" s="83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</row>
    <row r="15" spans="1:77" ht="16.5" customHeight="1" thickBot="1" x14ac:dyDescent="0.3">
      <c r="A15" s="212"/>
      <c r="B15" s="33" t="s">
        <v>33</v>
      </c>
      <c r="C15" s="33" t="s">
        <v>53</v>
      </c>
      <c r="D15" s="69" t="s">
        <v>44</v>
      </c>
      <c r="E15" s="69" t="s">
        <v>60</v>
      </c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K15" s="23"/>
      <c r="AL15" s="93" t="s">
        <v>74</v>
      </c>
      <c r="AM15" s="93" cm="1">
        <f t="array" ref="AM15">ContarFerias(Escala!B16:AF16)</f>
        <v>0</v>
      </c>
      <c r="AN15" s="83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</row>
    <row r="16" spans="1:77" x14ac:dyDescent="0.25">
      <c r="A16" s="211" t="s">
        <v>32</v>
      </c>
      <c r="B16" s="34" t="s">
        <v>34</v>
      </c>
      <c r="C16" s="34" t="s">
        <v>54</v>
      </c>
      <c r="D16" s="69" t="s">
        <v>58</v>
      </c>
      <c r="E16" s="69" t="s">
        <v>58</v>
      </c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K16" s="23"/>
      <c r="AL16" s="93" t="s">
        <v>60</v>
      </c>
      <c r="AM16" s="93" cm="1">
        <f t="array" ref="AM16">ContarFerias(Escala!B17:AF17)</f>
        <v>0</v>
      </c>
      <c r="AN16" s="83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</row>
    <row r="17" spans="1:127" ht="15.75" thickBot="1" x14ac:dyDescent="0.3">
      <c r="A17" s="212"/>
      <c r="B17" s="35" t="s">
        <v>34</v>
      </c>
      <c r="C17" s="35" t="s">
        <v>54</v>
      </c>
      <c r="D17" s="69" t="s">
        <v>47</v>
      </c>
      <c r="E17" s="69" t="s">
        <v>46</v>
      </c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K17" s="23"/>
      <c r="AL17" s="93" t="s">
        <v>44</v>
      </c>
      <c r="AM17" s="93" cm="1">
        <f t="array" ref="AM17">ContarFerias(Escala!B18:AF18)</f>
        <v>1</v>
      </c>
      <c r="AN17" s="83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</row>
    <row r="18" spans="1:127" x14ac:dyDescent="0.25">
      <c r="A18" s="211" t="s">
        <v>37</v>
      </c>
      <c r="B18" s="34" t="s">
        <v>78</v>
      </c>
      <c r="C18" s="34" t="s">
        <v>55</v>
      </c>
      <c r="D18" s="69" t="s">
        <v>56</v>
      </c>
      <c r="E18" s="69" t="s">
        <v>45</v>
      </c>
      <c r="F18" s="69" t="s">
        <v>56</v>
      </c>
      <c r="G18" s="69" t="s">
        <v>58</v>
      </c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K18" s="23"/>
      <c r="AL18" s="93"/>
      <c r="AN18" s="83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</row>
    <row r="19" spans="1:127" ht="15.75" thickBot="1" x14ac:dyDescent="0.3">
      <c r="A19" s="213"/>
      <c r="B19" s="36" t="s">
        <v>78</v>
      </c>
      <c r="C19" s="35" t="s">
        <v>55</v>
      </c>
      <c r="D19" s="69" t="s">
        <v>59</v>
      </c>
      <c r="E19" s="69"/>
      <c r="F19" s="69" t="s">
        <v>46</v>
      </c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K19" s="23"/>
      <c r="AL19" s="93"/>
      <c r="AN19" s="83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</row>
    <row r="20" spans="1:127" ht="15.75" thickBot="1" x14ac:dyDescent="0.3">
      <c r="A20" s="212"/>
      <c r="B20" s="168" t="s">
        <v>42</v>
      </c>
      <c r="C20" s="169"/>
      <c r="D20" s="232" t="str">
        <f>Escala!B19</f>
        <v>FE</v>
      </c>
      <c r="E20" s="233">
        <f>Escala!C19</f>
        <v>0</v>
      </c>
      <c r="F20" s="233" t="str">
        <f>Escala!D19</f>
        <v>FE</v>
      </c>
      <c r="G20" s="233" t="str">
        <f>Escala!E19</f>
        <v>FE</v>
      </c>
      <c r="H20" s="233">
        <f>Escala!F19</f>
        <v>0</v>
      </c>
      <c r="I20" s="233" t="str">
        <f>Escala!G19</f>
        <v>FE</v>
      </c>
      <c r="J20" s="233">
        <f>Escala!H19</f>
        <v>0</v>
      </c>
      <c r="K20" s="233">
        <f>Escala!I19</f>
        <v>0</v>
      </c>
      <c r="L20" s="233">
        <f>Escala!J19</f>
        <v>0</v>
      </c>
      <c r="M20" s="233">
        <f>Escala!K19</f>
        <v>0</v>
      </c>
      <c r="N20" s="233">
        <f>Escala!L19</f>
        <v>0</v>
      </c>
      <c r="O20" s="233">
        <f>Escala!M19</f>
        <v>0</v>
      </c>
      <c r="P20" s="233">
        <f>Escala!N19</f>
        <v>0</v>
      </c>
      <c r="Q20" s="233">
        <f>Escala!O19</f>
        <v>0</v>
      </c>
      <c r="R20" s="233">
        <f>Escala!P19</f>
        <v>0</v>
      </c>
      <c r="S20" s="233">
        <f>Escala!Q19</f>
        <v>0</v>
      </c>
      <c r="T20" s="233">
        <f>Escala!R19</f>
        <v>0</v>
      </c>
      <c r="U20" s="233">
        <f>Escala!S19</f>
        <v>0</v>
      </c>
      <c r="V20" s="233">
        <f>Escala!T19</f>
        <v>0</v>
      </c>
      <c r="W20" s="233">
        <f>Escala!U19</f>
        <v>0</v>
      </c>
      <c r="X20" s="233">
        <f>Escala!V19</f>
        <v>0</v>
      </c>
      <c r="Y20" s="233">
        <f>Escala!W19</f>
        <v>0</v>
      </c>
      <c r="Z20" s="233" t="str">
        <f>Escala!X19</f>
        <v>FE</v>
      </c>
      <c r="AA20" s="233">
        <f>Escala!Y19</f>
        <v>0</v>
      </c>
      <c r="AB20" s="233">
        <f>Escala!Z19</f>
        <v>0</v>
      </c>
      <c r="AC20" s="233">
        <f>Escala!AA19</f>
        <v>0</v>
      </c>
      <c r="AD20" s="233">
        <f>Escala!AB19</f>
        <v>0</v>
      </c>
      <c r="AE20" s="233">
        <f>Escala!AC19</f>
        <v>0</v>
      </c>
      <c r="AF20" s="233">
        <f>Escala!AD19</f>
        <v>0</v>
      </c>
      <c r="AG20" s="233">
        <f>Escala!AE19</f>
        <v>0</v>
      </c>
      <c r="AH20" s="234" t="str">
        <f>Escala!AF19</f>
        <v>FE</v>
      </c>
      <c r="AK20" s="23"/>
      <c r="AL20" s="93"/>
      <c r="AN20" s="83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</row>
    <row r="21" spans="1:127" x14ac:dyDescent="0.25">
      <c r="A21" s="23"/>
      <c r="AK21" s="23"/>
      <c r="AL21" s="93"/>
      <c r="AN21" s="83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</row>
    <row r="22" spans="1:127" x14ac:dyDescent="0.25">
      <c r="A22" s="23"/>
      <c r="AK22" s="23"/>
      <c r="AL22" s="93"/>
      <c r="AN22" s="83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</row>
    <row r="23" spans="1:127" x14ac:dyDescent="0.25">
      <c r="AK23" s="23"/>
      <c r="AL23" s="93"/>
      <c r="AN23" s="8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</row>
    <row r="24" spans="1:127" ht="15.75" thickBot="1" x14ac:dyDescent="0.3">
      <c r="AK24" s="75"/>
      <c r="AL24" s="153"/>
      <c r="AM24" s="84"/>
      <c r="AN24" s="85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</row>
    <row r="25" spans="1:127" ht="15.75" thickBot="1" x14ac:dyDescent="0.3">
      <c r="AK25" s="102"/>
      <c r="AL25" s="152" t="s">
        <v>69</v>
      </c>
      <c r="AM25" s="103"/>
      <c r="AN25" s="104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</row>
    <row r="26" spans="1:127" x14ac:dyDescent="0.25">
      <c r="AK26" s="105"/>
      <c r="AL26" s="92" t="s">
        <v>48</v>
      </c>
      <c r="AM26" s="106"/>
      <c r="AN26" s="107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</row>
    <row r="27" spans="1:127" x14ac:dyDescent="0.25">
      <c r="AK27" s="23"/>
      <c r="AN27" s="83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</row>
    <row r="28" spans="1:127" x14ac:dyDescent="0.25">
      <c r="AK28" s="23"/>
      <c r="AN28" s="83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</row>
    <row r="29" spans="1:127" ht="15.75" thickBot="1" x14ac:dyDescent="0.3">
      <c r="AK29" s="75"/>
      <c r="AL29" s="84"/>
      <c r="AM29" s="84"/>
      <c r="AN29" s="85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</row>
    <row r="30" spans="1:127" x14ac:dyDescent="0.25"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</row>
    <row r="31" spans="1:127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</row>
    <row r="32" spans="1:127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</row>
    <row r="33" spans="1:127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</row>
    <row r="34" spans="1:127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</row>
    <row r="35" spans="1:127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</row>
    <row r="36" spans="1:127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</row>
    <row r="37" spans="1:127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</row>
    <row r="38" spans="1:127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</row>
    <row r="39" spans="1:127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</row>
    <row r="40" spans="1:127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</row>
    <row r="41" spans="1:127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</row>
    <row r="42" spans="1:127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</row>
    <row r="43" spans="1:127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</row>
    <row r="44" spans="1:127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</row>
    <row r="45" spans="1:127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</row>
    <row r="46" spans="1:127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</row>
    <row r="47" spans="1:127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</row>
    <row r="48" spans="1:127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</row>
    <row r="49" spans="1:127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</row>
    <row r="50" spans="1:127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</row>
    <row r="51" spans="1:127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</row>
    <row r="52" spans="1:127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</row>
    <row r="53" spans="1:127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</row>
    <row r="54" spans="1:127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</row>
    <row r="55" spans="1:127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</row>
    <row r="56" spans="1:127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</row>
    <row r="57" spans="1:127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</row>
    <row r="58" spans="1:127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</row>
    <row r="59" spans="1:127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</row>
    <row r="60" spans="1:127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</row>
    <row r="61" spans="1:127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</row>
    <row r="62" spans="1:127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</row>
    <row r="63" spans="1:127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</row>
    <row r="64" spans="1:127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</row>
    <row r="65" spans="1:127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</row>
    <row r="66" spans="1:127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</row>
    <row r="67" spans="1:127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</row>
    <row r="68" spans="1:127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</row>
    <row r="69" spans="1:127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</row>
    <row r="70" spans="1:127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</row>
    <row r="71" spans="1:127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</row>
    <row r="72" spans="1:127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</row>
    <row r="73" spans="1:127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</row>
    <row r="74" spans="1:127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</row>
    <row r="75" spans="1:127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</row>
    <row r="76" spans="1:127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</row>
    <row r="77" spans="1:127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</row>
    <row r="78" spans="1:127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</row>
    <row r="79" spans="1:127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</row>
    <row r="80" spans="1:127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</row>
    <row r="81" spans="1:127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</row>
    <row r="82" spans="1:127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</row>
    <row r="83" spans="1:127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</row>
    <row r="84" spans="1:127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</row>
    <row r="85" spans="1:127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</row>
    <row r="86" spans="1:127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</row>
    <row r="87" spans="1:127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</row>
    <row r="88" spans="1:127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</row>
    <row r="89" spans="1:127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</row>
    <row r="90" spans="1:127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</row>
    <row r="91" spans="1:127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</row>
    <row r="92" spans="1:127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</row>
    <row r="93" spans="1:127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</row>
    <row r="94" spans="1:127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</row>
    <row r="95" spans="1:127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</row>
    <row r="96" spans="1:127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</row>
    <row r="97" spans="1:127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</row>
    <row r="98" spans="1:127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</row>
    <row r="99" spans="1:127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</row>
    <row r="100" spans="1:127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</row>
    <row r="101" spans="1:127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</row>
    <row r="102" spans="1:127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</row>
    <row r="103" spans="1:127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</row>
    <row r="104" spans="1:127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</row>
    <row r="105" spans="1:127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</row>
    <row r="106" spans="1:127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</row>
    <row r="107" spans="1:127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</row>
    <row r="108" spans="1:127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</row>
    <row r="109" spans="1:127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</row>
    <row r="110" spans="1:127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</row>
    <row r="111" spans="1:127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</row>
    <row r="112" spans="1:127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</row>
    <row r="113" spans="1:127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</row>
    <row r="114" spans="1:127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</row>
    <row r="115" spans="1:127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</row>
    <row r="116" spans="1:127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</row>
    <row r="117" spans="1:127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</row>
    <row r="118" spans="1:127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</row>
    <row r="119" spans="1:127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</row>
    <row r="120" spans="1:127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</row>
    <row r="121" spans="1:127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</row>
    <row r="122" spans="1:127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</row>
    <row r="123" spans="1:127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</row>
    <row r="124" spans="1:127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</row>
    <row r="125" spans="1:127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</row>
    <row r="126" spans="1:127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</row>
    <row r="127" spans="1:127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</row>
    <row r="128" spans="1:127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</row>
    <row r="129" spans="1:127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</row>
    <row r="130" spans="1:127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</row>
    <row r="131" spans="1:127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</row>
    <row r="132" spans="1:127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</row>
    <row r="133" spans="1:127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</row>
    <row r="134" spans="1:127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</row>
    <row r="135" spans="1:127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</row>
    <row r="136" spans="1:127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</row>
    <row r="137" spans="1:127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</row>
    <row r="138" spans="1:127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</row>
    <row r="139" spans="1:127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</row>
    <row r="140" spans="1:127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</row>
    <row r="141" spans="1:127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</row>
    <row r="142" spans="1:127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</row>
    <row r="143" spans="1:127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</row>
    <row r="144" spans="1:127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</row>
    <row r="145" spans="1:127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</row>
    <row r="146" spans="1:127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</row>
    <row r="147" spans="1:127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</row>
    <row r="148" spans="1:127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</row>
    <row r="149" spans="1:127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</row>
    <row r="150" spans="1:127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</row>
    <row r="151" spans="1:127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</row>
    <row r="152" spans="1:127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</row>
    <row r="153" spans="1:127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</row>
    <row r="154" spans="1:127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</row>
    <row r="155" spans="1:127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</row>
    <row r="156" spans="1:127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</row>
    <row r="157" spans="1:127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</row>
    <row r="158" spans="1:127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</row>
    <row r="159" spans="1:127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</row>
    <row r="160" spans="1:127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</row>
    <row r="161" spans="1:127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</row>
    <row r="162" spans="1:127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</row>
    <row r="163" spans="1:127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</row>
    <row r="164" spans="1:127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</row>
    <row r="165" spans="1:127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</row>
    <row r="166" spans="1:127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</row>
    <row r="167" spans="1:127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</row>
    <row r="168" spans="1:127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</row>
    <row r="169" spans="1:127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</row>
    <row r="170" spans="1:127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</row>
    <row r="171" spans="1:127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</row>
    <row r="172" spans="1:127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</row>
    <row r="173" spans="1:127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</row>
    <row r="174" spans="1:127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</row>
    <row r="175" spans="1:127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</row>
    <row r="176" spans="1:127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</row>
    <row r="177" spans="1:127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</row>
    <row r="178" spans="1:127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</row>
    <row r="179" spans="1:127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</row>
    <row r="180" spans="1:127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</row>
    <row r="181" spans="1:127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</row>
    <row r="182" spans="1:127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</row>
    <row r="183" spans="1:127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</row>
    <row r="184" spans="1:127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</row>
    <row r="185" spans="1:127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</row>
    <row r="186" spans="1:127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</row>
    <row r="187" spans="1:127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</row>
    <row r="188" spans="1:127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</row>
    <row r="189" spans="1:127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</row>
    <row r="190" spans="1:127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</row>
    <row r="191" spans="1:127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</row>
    <row r="192" spans="1:127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</row>
    <row r="193" spans="1:127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</row>
    <row r="194" spans="1:127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</row>
    <row r="195" spans="1:127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</row>
    <row r="196" spans="1:127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</row>
    <row r="197" spans="1:127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</row>
    <row r="198" spans="1:127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</row>
    <row r="199" spans="1:127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</row>
    <row r="200" spans="1:127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</row>
    <row r="201" spans="1:127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</row>
    <row r="202" spans="1:127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</row>
    <row r="203" spans="1:127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</row>
    <row r="204" spans="1:127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</row>
  </sheetData>
  <sheetProtection formatCells="0" formatColumns="0" formatRows="0" insertColumns="0" insertRows="0" insertHyperlinks="0" deleteColumns="0" deleteRows="0" sort="0" autoFilter="0" pivotTables="0"/>
  <mergeCells count="5">
    <mergeCell ref="B20:C20"/>
    <mergeCell ref="A16:A17"/>
    <mergeCell ref="A10:A15"/>
    <mergeCell ref="A18:A20"/>
    <mergeCell ref="B7:AH7"/>
  </mergeCells>
  <phoneticPr fontId="18" type="noConversion"/>
  <conditionalFormatting sqref="D8:AH8">
    <cfRule type="containsText" dxfId="7145" priority="81" operator="containsText" text="DOM">
      <formula>NOT(ISERROR(SEARCH("DOM",D8)))</formula>
    </cfRule>
    <cfRule type="containsText" dxfId="7144" priority="82" operator="containsText" text="SÁB">
      <formula>NOT(ISERROR(SEARCH("SÁB",D8)))</formula>
    </cfRule>
  </conditionalFormatting>
  <conditionalFormatting sqref="D10:AH19">
    <cfRule type="containsText" dxfId="7143" priority="2" operator="containsText" text="Folga">
      <formula>NOT(ISERROR(SEARCH("Folga",D10)))</formula>
    </cfRule>
    <cfRule type="containsText" dxfId="7142" priority="3" operator="containsText" text="VA">
      <formula>NOT(ISERROR(SEARCH("VA",D10)))</formula>
    </cfRule>
    <cfRule type="containsText" dxfId="7141" priority="69" operator="containsText" text="Feriado">
      <formula>NOT(ISERROR(SEARCH("Feriado",D10)))</formula>
    </cfRule>
    <cfRule type="containsText" dxfId="7140" priority="70" operator="containsText" text="Paulo">
      <formula>NOT(ISERROR(SEARCH("Paulo",D10)))</formula>
    </cfRule>
    <cfRule type="containsText" dxfId="7139" priority="71" operator="containsText" text="Rafael">
      <formula>NOT(ISERROR(SEARCH("Rafael",D10)))</formula>
    </cfRule>
    <cfRule type="containsText" dxfId="7138" priority="72" operator="containsText" text="Gustavo">
      <formula>NOT(ISERROR(SEARCH("Gustavo",D10)))</formula>
    </cfRule>
    <cfRule type="containsText" dxfId="7137" priority="73" operator="containsText" text="Henrique">
      <formula>NOT(ISERROR(SEARCH("Henrique",D10)))</formula>
    </cfRule>
    <cfRule type="containsText" dxfId="7136" priority="74" operator="containsText" text="Renato">
      <formula>NOT(ISERROR(SEARCH("Renato",D10)))</formula>
    </cfRule>
    <cfRule type="containsText" dxfId="7135" priority="75" operator="containsText" text="Caio">
      <formula>NOT(ISERROR(SEARCH("Caio",D10)))</formula>
    </cfRule>
    <cfRule type="containsText" dxfId="7134" priority="76" operator="containsText" text="Danilo">
      <formula>NOT(ISERROR(SEARCH("Danilo",D10)))</formula>
    </cfRule>
    <cfRule type="containsText" dxfId="7133" priority="77" operator="containsText" text="Luciano">
      <formula>NOT(ISERROR(SEARCH("Luciano",D10)))</formula>
    </cfRule>
    <cfRule type="containsText" dxfId="7132" priority="78" operator="containsText" text="Eduardo">
      <formula>NOT(ISERROR(SEARCH("Eduardo",D10)))</formula>
    </cfRule>
    <cfRule type="containsText" dxfId="7131" priority="79" operator="containsText" text="Chrysthyanne">
      <formula>NOT(ISERROR(SEARCH("Chrysthyanne",D10)))</formula>
    </cfRule>
    <cfRule type="containsText" dxfId="7130" priority="80" operator="containsText" text="Folga">
      <formula>NOT(ISERROR(SEARCH("Folga",D10)))</formula>
    </cfRule>
  </conditionalFormatting>
  <conditionalFormatting sqref="D10:AH19">
    <cfRule type="containsText" dxfId="7129" priority="67" operator="containsText" text="Férias">
      <formula>NOT(ISERROR(SEARCH("Férias",D10)))</formula>
    </cfRule>
  </conditionalFormatting>
  <conditionalFormatting sqref="C10:C15">
    <cfRule type="containsText" dxfId="7128" priority="34" operator="containsText" text="T3">
      <formula>NOT(ISERROR(SEARCH("T3",C10)))</formula>
    </cfRule>
    <cfRule type="containsText" dxfId="7127" priority="37" operator="containsText" text="T2">
      <formula>NOT(ISERROR(SEARCH("T2",C10)))</formula>
    </cfRule>
    <cfRule type="containsText" dxfId="7126" priority="40" operator="containsText" text="T1">
      <formula>NOT(ISERROR(SEARCH("T1",C10)))</formula>
    </cfRule>
  </conditionalFormatting>
  <conditionalFormatting sqref="C16:C19">
    <cfRule type="containsText" dxfId="7125" priority="35" operator="containsText" text="T3">
      <formula>NOT(ISERROR(SEARCH("T3",C16)))</formula>
    </cfRule>
    <cfRule type="containsText" dxfId="7124" priority="36" operator="containsText" text="T1">
      <formula>NOT(ISERROR(SEARCH("T1",C16)))</formula>
    </cfRule>
    <cfRule type="containsText" dxfId="7123" priority="39" operator="containsText" text="T2">
      <formula>NOT(ISERROR(SEARCH("T2",C16)))</formula>
    </cfRule>
  </conditionalFormatting>
  <conditionalFormatting sqref="D9">
    <cfRule type="expression" dxfId="7122" priority="3762">
      <formula>$D$20="Feriado"</formula>
    </cfRule>
    <cfRule type="expression" dxfId="7121" priority="3763" stopIfTrue="1">
      <formula>#REF!="Feriado"</formula>
    </cfRule>
  </conditionalFormatting>
  <conditionalFormatting sqref="D18:AG20">
    <cfRule type="containsText" dxfId="7120" priority="19" operator="containsText" text="Feriado">
      <formula>NOT(ISERROR(SEARCH("Feriado",D18)))</formula>
    </cfRule>
    <cfRule type="containsText" dxfId="7119" priority="20" operator="containsText" text="Paulo">
      <formula>NOT(ISERROR(SEARCH("Paulo",D18)))</formula>
    </cfRule>
    <cfRule type="containsText" dxfId="7118" priority="21" operator="containsText" text="Rafael">
      <formula>NOT(ISERROR(SEARCH("Rafael",D18)))</formula>
    </cfRule>
    <cfRule type="containsText" dxfId="7117" priority="22" operator="containsText" text="Gustavo">
      <formula>NOT(ISERROR(SEARCH("Gustavo",D18)))</formula>
    </cfRule>
    <cfRule type="containsText" dxfId="7116" priority="23" operator="containsText" text="Henrique">
      <formula>NOT(ISERROR(SEARCH("Henrique",D18)))</formula>
    </cfRule>
    <cfRule type="containsText" dxfId="7115" priority="24" operator="containsText" text="Renato">
      <formula>NOT(ISERROR(SEARCH("Renato",D18)))</formula>
    </cfRule>
    <cfRule type="containsText" dxfId="7114" priority="25" operator="containsText" text="Caio">
      <formula>NOT(ISERROR(SEARCH("Caio",D18)))</formula>
    </cfRule>
    <cfRule type="containsText" dxfId="7113" priority="26" operator="containsText" text="Danilo">
      <formula>NOT(ISERROR(SEARCH("Danilo",D18)))</formula>
    </cfRule>
    <cfRule type="containsText" dxfId="7112" priority="27" operator="containsText" text="Luciano">
      <formula>NOT(ISERROR(SEARCH("Luciano",D18)))</formula>
    </cfRule>
    <cfRule type="containsText" dxfId="7111" priority="28" operator="containsText" text="Eduardo">
      <formula>NOT(ISERROR(SEARCH("Eduardo",D18)))</formula>
    </cfRule>
    <cfRule type="containsText" dxfId="7110" priority="29" operator="containsText" text="Chrysthyanne">
      <formula>NOT(ISERROR(SEARCH("Chrysthyanne",D18)))</formula>
    </cfRule>
    <cfRule type="containsText" dxfId="7109" priority="30" operator="containsText" text="Folga">
      <formula>NOT(ISERROR(SEARCH("Folga",D18)))</formula>
    </cfRule>
  </conditionalFormatting>
  <conditionalFormatting sqref="D18:AG19">
    <cfRule type="containsText" dxfId="7108" priority="18" operator="containsText" text="Férias">
      <formula>NOT(ISERROR(SEARCH("Férias",D18)))</formula>
    </cfRule>
  </conditionalFormatting>
  <conditionalFormatting sqref="AH18:AH20">
    <cfRule type="containsText" dxfId="7107" priority="6" operator="containsText" text="Feriado">
      <formula>NOT(ISERROR(SEARCH("Feriado",AH18)))</formula>
    </cfRule>
    <cfRule type="containsText" dxfId="7106" priority="7" operator="containsText" text="Paulo">
      <formula>NOT(ISERROR(SEARCH("Paulo",AH18)))</formula>
    </cfRule>
    <cfRule type="containsText" dxfId="7105" priority="8" operator="containsText" text="Rafael">
      <formula>NOT(ISERROR(SEARCH("Rafael",AH18)))</formula>
    </cfRule>
    <cfRule type="containsText" dxfId="7104" priority="9" operator="containsText" text="Gustavo">
      <formula>NOT(ISERROR(SEARCH("Gustavo",AH18)))</formula>
    </cfRule>
    <cfRule type="containsText" dxfId="7103" priority="10" operator="containsText" text="Henrique">
      <formula>NOT(ISERROR(SEARCH("Henrique",AH18)))</formula>
    </cfRule>
    <cfRule type="containsText" dxfId="7102" priority="11" operator="containsText" text="Renato">
      <formula>NOT(ISERROR(SEARCH("Renato",AH18)))</formula>
    </cfRule>
    <cfRule type="containsText" dxfId="7101" priority="12" operator="containsText" text="Caio">
      <formula>NOT(ISERROR(SEARCH("Caio",AH18)))</formula>
    </cfRule>
    <cfRule type="containsText" dxfId="7100" priority="13" operator="containsText" text="Danilo">
      <formula>NOT(ISERROR(SEARCH("Danilo",AH18)))</formula>
    </cfRule>
    <cfRule type="containsText" dxfId="7099" priority="14" operator="containsText" text="Luciano">
      <formula>NOT(ISERROR(SEARCH("Luciano",AH18)))</formula>
    </cfRule>
    <cfRule type="containsText" dxfId="7098" priority="15" operator="containsText" text="Eduardo">
      <formula>NOT(ISERROR(SEARCH("Eduardo",AH18)))</formula>
    </cfRule>
    <cfRule type="containsText" dxfId="7097" priority="17" operator="containsText" text="Folga">
      <formula>NOT(ISERROR(SEARCH("Folga",AH18)))</formula>
    </cfRule>
  </conditionalFormatting>
  <conditionalFormatting sqref="AH18:AH19">
    <cfRule type="containsText" dxfId="7096" priority="5" operator="containsText" text="Férias">
      <formula>NOT(ISERROR(SEARCH("Férias",AH18)))</formula>
    </cfRule>
  </conditionalFormatting>
  <conditionalFormatting sqref="D10:AH19">
    <cfRule type="containsText" dxfId="7095" priority="4" operator="containsText" text="Roberta">
      <formula>NOT(ISERROR(SEARCH("Roberta",D10)))</formula>
    </cfRule>
  </conditionalFormatting>
  <conditionalFormatting sqref="D20:AH20">
    <cfRule type="containsText" dxfId="3588" priority="1" operator="containsText" text="FE">
      <formula>NOT(ISERROR(SEARCH("FE",D20)))</formula>
    </cfRule>
  </conditionalFormatting>
  <dataValidations count="7">
    <dataValidation type="list" allowBlank="1" showInputMessage="1" showErrorMessage="1" sqref="B5" xr:uid="{12767E2E-1F61-4536-84E7-8A462C0FAB6D}">
      <formula1>"01/01/2024,01/02/2024,01/03/2024,01/04/2024,01/05/2024,01/06/2024,01/07/2024,01/08/2024,01/09/2024,01/10/2024,01/11/2024,01/12/2024"</formula1>
    </dataValidation>
    <dataValidation type="list" allowBlank="1" showInputMessage="1" showErrorMessage="1" sqref="AL8" xr:uid="{780B096A-122F-4AAC-96CE-C517D99C16D5}">
      <formula1>"Danilo;Luciano;Henrique;Eduardo;Renato;Rafael;Gustavo;Roberta;Paulo;Caio;"</formula1>
    </dataValidation>
    <dataValidation type="list" allowBlank="1" showInputMessage="1" showErrorMessage="1" sqref="AN8" xr:uid="{80ACD765-EF80-407D-9AA0-DFF65BC3A777}">
      <formula1>"06:00/15:00;08:00/17:00;10:00/19:00;13:00/22:00;21:30/06:30;"</formula1>
    </dataValidation>
    <dataValidation type="list" allowBlank="1" showInputMessage="1" showErrorMessage="1" sqref="D10:AH19" xr:uid="{17B88B09-4734-4FDF-8822-A64D3B7CD5BC}">
      <formula1>$AL$8:$AL$31</formula1>
    </dataValidation>
    <dataValidation type="list" allowBlank="1" showInputMessage="1" showErrorMessage="1" sqref="AL10:AL17 AL20" xr:uid="{166AB204-DB44-41EA-A3D5-C5A26FB49C43}">
      <formula1>AL10:AL137</formula1>
    </dataValidation>
    <dataValidation type="list" allowBlank="1" showInputMessage="1" showErrorMessage="1" sqref="AK18:AK20" xr:uid="{E61C6683-6550-4185-ABC2-4739939F287D}">
      <formula1>AK18:AK150</formula1>
    </dataValidation>
    <dataValidation type="list" allowBlank="1" showInputMessage="1" showErrorMessage="1" sqref="B10:B19" xr:uid="{4712C9B4-B23B-465A-BA3F-6D29F3435020}">
      <formula1>$AN$8:$AN$1048576</formula1>
    </dataValidation>
  </dataValidations>
  <pageMargins left="0.51181102362204722" right="0.51181102362204722" top="0.78740157480314965" bottom="0.78740157480314965" header="0.31496062992125984" footer="0.31496062992125984"/>
  <pageSetup scale="5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819B95-2D33-476A-A115-CB89EC050794}">
          <x14:formula1>
            <xm:f>Escala!$AL$10:$AL$17</xm:f>
          </x14:formula1>
          <xm:sqref>C10:C19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1B91F-680C-41AA-8ED2-A1ACE8B5996D}">
  <sheetPr codeName="Planilha3"/>
  <dimension ref="A1:CT61"/>
  <sheetViews>
    <sheetView zoomScale="90" zoomScaleNormal="90" workbookViewId="0">
      <selection activeCell="AV25" sqref="AV25"/>
    </sheetView>
  </sheetViews>
  <sheetFormatPr defaultRowHeight="15" x14ac:dyDescent="0.25"/>
  <cols>
    <col min="1" max="1" width="9.140625" style="17"/>
    <col min="2" max="2" width="12.7109375" style="17" bestFit="1" customWidth="1"/>
    <col min="3" max="3" width="9.5703125" style="17" customWidth="1"/>
    <col min="4" max="4" width="3" style="17" customWidth="1"/>
    <col min="5" max="5" width="2.85546875" style="17" customWidth="1"/>
    <col min="6" max="6" width="8.140625" style="17" customWidth="1"/>
    <col min="7" max="7" width="14.28515625" style="17" customWidth="1"/>
    <col min="8" max="8" width="3.28515625" style="17" customWidth="1"/>
    <col min="9" max="9" width="3.140625" style="17" customWidth="1"/>
    <col min="10" max="10" width="10.28515625" style="17" customWidth="1"/>
    <col min="11" max="11" width="12" style="17" customWidth="1"/>
    <col min="12" max="13" width="3.7109375" style="17" customWidth="1"/>
    <col min="14" max="14" width="21" style="17" customWidth="1"/>
    <col min="15" max="15" width="8.5703125" style="17" customWidth="1"/>
    <col min="16" max="16" width="3.140625" style="17" bestFit="1" customWidth="1"/>
    <col min="17" max="20" width="3.28515625" style="17" bestFit="1" customWidth="1"/>
    <col min="21" max="46" width="3" style="17" bestFit="1" customWidth="1"/>
    <col min="47" max="47" width="16.85546875" style="17" bestFit="1" customWidth="1"/>
    <col min="48" max="48" width="9.140625" style="17"/>
    <col min="49" max="49" width="25.85546875" style="17" bestFit="1" customWidth="1"/>
    <col min="50" max="16384" width="9.140625" style="17"/>
  </cols>
  <sheetData>
    <row r="1" spans="1:98" customFormat="1" ht="34.5" x14ac:dyDescent="0.25">
      <c r="A1" s="45"/>
      <c r="B1" s="41"/>
      <c r="C1" s="42"/>
      <c r="D1" s="42"/>
      <c r="E1" s="42"/>
      <c r="F1" s="42"/>
      <c r="G1" s="42"/>
      <c r="H1" s="45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</row>
    <row r="2" spans="1:98" customFormat="1" ht="62.25" customHeight="1" x14ac:dyDescent="0.25">
      <c r="A2" s="45"/>
      <c r="B2" s="42"/>
      <c r="C2" s="42"/>
      <c r="D2" s="42"/>
      <c r="E2" s="42"/>
      <c r="F2" s="42"/>
      <c r="G2" s="42"/>
      <c r="H2" s="45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</row>
    <row r="3" spans="1:98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</row>
    <row r="4" spans="1:98" ht="15.75" thickBot="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</row>
    <row r="5" spans="1:98" ht="19.5" thickBot="1" x14ac:dyDescent="0.35">
      <c r="A5"/>
      <c r="B5" s="223" t="s">
        <v>38</v>
      </c>
      <c r="C5" s="224"/>
      <c r="D5"/>
      <c r="E5"/>
      <c r="F5" s="223" t="s">
        <v>39</v>
      </c>
      <c r="G5" s="224"/>
      <c r="H5"/>
      <c r="I5"/>
      <c r="J5" s="223" t="s">
        <v>40</v>
      </c>
      <c r="K5" s="224"/>
      <c r="L5"/>
      <c r="M5"/>
      <c r="N5" s="62" t="s">
        <v>41</v>
      </c>
      <c r="O5"/>
      <c r="P5" s="214" t="s">
        <v>56</v>
      </c>
      <c r="Q5" s="215"/>
      <c r="R5" s="215"/>
      <c r="S5" s="215"/>
      <c r="T5" s="216"/>
      <c r="U5"/>
      <c r="V5" s="214" t="s">
        <v>80</v>
      </c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6"/>
      <c r="AT5"/>
      <c r="AU5" s="155" t="s">
        <v>66</v>
      </c>
      <c r="AV5" s="80" t="s">
        <v>67</v>
      </c>
      <c r="AW5" s="94" t="s">
        <v>68</v>
      </c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</row>
    <row r="6" spans="1:98" ht="15" customHeight="1" thickBot="1" x14ac:dyDescent="0.3">
      <c r="A6"/>
      <c r="B6" s="217">
        <f>COUNTA(Configuração!AL8:AL24)</f>
        <v>10</v>
      </c>
      <c r="C6" s="218"/>
      <c r="D6"/>
      <c r="E6"/>
      <c r="F6" s="217">
        <f>SUM(Configuração!AM8:AM17)</f>
        <v>2</v>
      </c>
      <c r="G6" s="218"/>
      <c r="H6"/>
      <c r="I6"/>
      <c r="J6" s="217">
        <f>COUNTA(Escala!B25:B27)</f>
        <v>3</v>
      </c>
      <c r="K6" s="218"/>
      <c r="L6"/>
      <c r="M6"/>
      <c r="N6" s="221">
        <f>COUNTIF(Escala!B19:AF19,"FE")</f>
        <v>6</v>
      </c>
      <c r="O6"/>
      <c r="P6" s="156" t="str" cm="1">
        <f t="array" ref="P6:AT15">IF(Escala!A9:A18=Dashboard!P5:P5,Escala!B9:AF18,"")</f>
        <v/>
      </c>
      <c r="Q6" s="157" t="str">
        <v/>
      </c>
      <c r="R6" s="157" t="str">
        <v/>
      </c>
      <c r="S6" s="157" t="str">
        <v/>
      </c>
      <c r="T6" s="157" t="str">
        <v/>
      </c>
      <c r="U6" s="157" t="str">
        <v/>
      </c>
      <c r="V6" s="157" t="str">
        <v/>
      </c>
      <c r="W6" s="157" t="str">
        <v/>
      </c>
      <c r="X6" s="157" t="str">
        <v/>
      </c>
      <c r="Y6" s="157" t="str">
        <v/>
      </c>
      <c r="Z6" s="157" t="str">
        <v/>
      </c>
      <c r="AA6" s="157" t="str">
        <v/>
      </c>
      <c r="AB6" s="157" t="str">
        <v/>
      </c>
      <c r="AC6" s="157" t="str">
        <v/>
      </c>
      <c r="AD6" s="157" t="str">
        <v/>
      </c>
      <c r="AE6" s="157" t="str">
        <v/>
      </c>
      <c r="AF6" s="157" t="str">
        <v/>
      </c>
      <c r="AG6" s="157" t="str">
        <v/>
      </c>
      <c r="AH6" s="157" t="str">
        <v/>
      </c>
      <c r="AI6" s="157" t="str">
        <v/>
      </c>
      <c r="AJ6" s="157" t="str">
        <v/>
      </c>
      <c r="AK6" s="157" t="str">
        <v/>
      </c>
      <c r="AL6" s="157" t="str">
        <v/>
      </c>
      <c r="AM6" s="157" t="str">
        <v/>
      </c>
      <c r="AN6" s="157" t="str">
        <v/>
      </c>
      <c r="AO6" s="157" t="str">
        <v/>
      </c>
      <c r="AP6" s="157" t="str">
        <v/>
      </c>
      <c r="AQ6" s="157" t="str">
        <v/>
      </c>
      <c r="AR6" s="157" t="str">
        <v/>
      </c>
      <c r="AS6" s="157" t="str">
        <v/>
      </c>
      <c r="AT6" s="158" t="str">
        <v/>
      </c>
      <c r="AU6" s="87" cm="1">
        <f t="array" ref="AU6">ContarTurnos(P6:AT6)</f>
        <v>0</v>
      </c>
      <c r="AV6" s="88">
        <f>COUNTA(P6:AT6)</f>
        <v>31</v>
      </c>
      <c r="AW6" s="88">
        <f>AV6-AU6</f>
        <v>31</v>
      </c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</row>
    <row r="7" spans="1:98" ht="15" customHeight="1" thickBot="1" x14ac:dyDescent="0.3">
      <c r="A7"/>
      <c r="B7" s="217"/>
      <c r="C7" s="218"/>
      <c r="D7"/>
      <c r="E7"/>
      <c r="F7" s="217"/>
      <c r="G7" s="218"/>
      <c r="H7"/>
      <c r="I7"/>
      <c r="J7" s="217"/>
      <c r="K7" s="218"/>
      <c r="L7"/>
      <c r="M7"/>
      <c r="N7" s="221"/>
      <c r="O7"/>
      <c r="P7" s="159" t="str">
        <v>T1</v>
      </c>
      <c r="Q7" s="160" t="str">
        <v>T1</v>
      </c>
      <c r="R7" s="160" t="str">
        <v>T1</v>
      </c>
      <c r="S7" s="160" t="str">
        <v>T1</v>
      </c>
      <c r="T7" s="160" t="str">
        <v>DO</v>
      </c>
      <c r="U7" s="160" t="str">
        <v>T1</v>
      </c>
      <c r="V7" s="160" t="str">
        <v>T1</v>
      </c>
      <c r="W7" s="160" t="str">
        <v>VA</v>
      </c>
      <c r="X7" s="160" t="str">
        <v>T1</v>
      </c>
      <c r="Y7" s="160" t="str">
        <v>T1</v>
      </c>
      <c r="Z7" s="160" t="str">
        <v>T1</v>
      </c>
      <c r="AA7" s="160" t="str">
        <v>T1</v>
      </c>
      <c r="AB7" s="160" t="str">
        <v>T1</v>
      </c>
      <c r="AC7" s="160" t="str">
        <v>T1</v>
      </c>
      <c r="AD7" s="160" t="str">
        <v>T1</v>
      </c>
      <c r="AE7" s="160" t="str">
        <v>T1</v>
      </c>
      <c r="AF7" s="160" t="str">
        <v>T1</v>
      </c>
      <c r="AG7" s="160" t="str">
        <v>T1</v>
      </c>
      <c r="AH7" s="160" t="str">
        <v>T1</v>
      </c>
      <c r="AI7" s="160" t="str">
        <v>T1</v>
      </c>
      <c r="AJ7" s="160" t="str">
        <v>T1</v>
      </c>
      <c r="AK7" s="160" t="str">
        <v>T1</v>
      </c>
      <c r="AL7" s="160" t="str">
        <v>T1</v>
      </c>
      <c r="AM7" s="160" t="str">
        <v>T1</v>
      </c>
      <c r="AN7" s="160" t="str">
        <v>T1</v>
      </c>
      <c r="AO7" s="160" t="str">
        <v>T1</v>
      </c>
      <c r="AP7" s="160" t="str">
        <v>T1</v>
      </c>
      <c r="AQ7" s="160" t="str">
        <v>T1</v>
      </c>
      <c r="AR7" s="160" t="str">
        <v>T1</v>
      </c>
      <c r="AS7" s="160" t="str">
        <v>T1</v>
      </c>
      <c r="AT7" s="161" t="str">
        <v>T1</v>
      </c>
      <c r="AU7" s="86" cm="1">
        <f t="array" ref="AU7">ContarTurnos(P7:AT7)</f>
        <v>29</v>
      </c>
      <c r="AV7" s="82">
        <f t="shared" ref="AV7:AV15" si="0">COUNTA(P7:AT7)</f>
        <v>31</v>
      </c>
      <c r="AW7" s="82">
        <f t="shared" ref="AW7:AW15" si="1">AV7-AU7</f>
        <v>2</v>
      </c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</row>
    <row r="8" spans="1:98" ht="15" customHeight="1" thickBot="1" x14ac:dyDescent="0.3">
      <c r="A8"/>
      <c r="B8" s="217"/>
      <c r="C8" s="218"/>
      <c r="D8"/>
      <c r="E8"/>
      <c r="F8" s="217"/>
      <c r="G8" s="218"/>
      <c r="H8"/>
      <c r="I8"/>
      <c r="J8" s="217"/>
      <c r="K8" s="218"/>
      <c r="L8"/>
      <c r="M8"/>
      <c r="N8" s="221"/>
      <c r="O8"/>
      <c r="P8" s="162" t="str">
        <v/>
      </c>
      <c r="Q8" s="163" t="str">
        <v/>
      </c>
      <c r="R8" s="163" t="str">
        <v/>
      </c>
      <c r="S8" s="163" t="str">
        <v/>
      </c>
      <c r="T8" s="163" t="str">
        <v/>
      </c>
      <c r="U8" s="163" t="str">
        <v/>
      </c>
      <c r="V8" s="163" t="str">
        <v/>
      </c>
      <c r="W8" s="163" t="str">
        <v/>
      </c>
      <c r="X8" s="163" t="str">
        <v/>
      </c>
      <c r="Y8" s="163" t="str">
        <v/>
      </c>
      <c r="Z8" s="163" t="str">
        <v/>
      </c>
      <c r="AA8" s="163" t="str">
        <v/>
      </c>
      <c r="AB8" s="163" t="str">
        <v/>
      </c>
      <c r="AC8" s="163" t="str">
        <v/>
      </c>
      <c r="AD8" s="163" t="str">
        <v/>
      </c>
      <c r="AE8" s="163" t="str">
        <v/>
      </c>
      <c r="AF8" s="163" t="str">
        <v/>
      </c>
      <c r="AG8" s="163" t="str">
        <v/>
      </c>
      <c r="AH8" s="163" t="str">
        <v/>
      </c>
      <c r="AI8" s="163" t="str">
        <v/>
      </c>
      <c r="AJ8" s="163" t="str">
        <v/>
      </c>
      <c r="AK8" s="163" t="str">
        <v/>
      </c>
      <c r="AL8" s="163" t="str">
        <v/>
      </c>
      <c r="AM8" s="163" t="str">
        <v/>
      </c>
      <c r="AN8" s="163" t="str">
        <v/>
      </c>
      <c r="AO8" s="163" t="str">
        <v/>
      </c>
      <c r="AP8" s="163" t="str">
        <v/>
      </c>
      <c r="AQ8" s="163" t="str">
        <v/>
      </c>
      <c r="AR8" s="163" t="str">
        <v/>
      </c>
      <c r="AS8" s="163" t="str">
        <v/>
      </c>
      <c r="AT8" s="164" t="str">
        <v/>
      </c>
      <c r="AU8" s="87" cm="1">
        <f t="array" ref="AU8">ContarTurnos(P8:AT8)</f>
        <v>0</v>
      </c>
      <c r="AV8" s="88">
        <f t="shared" si="0"/>
        <v>31</v>
      </c>
      <c r="AW8" s="88">
        <f t="shared" si="1"/>
        <v>31</v>
      </c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</row>
    <row r="9" spans="1:98" ht="15" customHeight="1" thickBot="1" x14ac:dyDescent="0.3">
      <c r="A9"/>
      <c r="B9" s="217"/>
      <c r="C9" s="218"/>
      <c r="D9"/>
      <c r="E9"/>
      <c r="F9" s="217"/>
      <c r="G9" s="218"/>
      <c r="H9"/>
      <c r="I9"/>
      <c r="J9" s="217"/>
      <c r="K9" s="218"/>
      <c r="L9"/>
      <c r="M9"/>
      <c r="N9" s="221"/>
      <c r="O9"/>
      <c r="P9" s="159" t="str">
        <v/>
      </c>
      <c r="Q9" s="160" t="str">
        <v/>
      </c>
      <c r="R9" s="160" t="str">
        <v/>
      </c>
      <c r="S9" s="160" t="str">
        <v/>
      </c>
      <c r="T9" s="160" t="str">
        <v/>
      </c>
      <c r="U9" s="160" t="str">
        <v/>
      </c>
      <c r="V9" s="160" t="str">
        <v/>
      </c>
      <c r="W9" s="160" t="str">
        <v/>
      </c>
      <c r="X9" s="160" t="str">
        <v/>
      </c>
      <c r="Y9" s="160" t="str">
        <v/>
      </c>
      <c r="Z9" s="160" t="str">
        <v/>
      </c>
      <c r="AA9" s="160" t="str">
        <v/>
      </c>
      <c r="AB9" s="160" t="str">
        <v/>
      </c>
      <c r="AC9" s="160" t="str">
        <v/>
      </c>
      <c r="AD9" s="160" t="str">
        <v/>
      </c>
      <c r="AE9" s="160" t="str">
        <v/>
      </c>
      <c r="AF9" s="160" t="str">
        <v/>
      </c>
      <c r="AG9" s="160" t="str">
        <v/>
      </c>
      <c r="AH9" s="160" t="str">
        <v/>
      </c>
      <c r="AI9" s="160" t="str">
        <v/>
      </c>
      <c r="AJ9" s="160" t="str">
        <v/>
      </c>
      <c r="AK9" s="160" t="str">
        <v/>
      </c>
      <c r="AL9" s="160" t="str">
        <v/>
      </c>
      <c r="AM9" s="160" t="str">
        <v/>
      </c>
      <c r="AN9" s="160" t="str">
        <v/>
      </c>
      <c r="AO9" s="160" t="str">
        <v/>
      </c>
      <c r="AP9" s="160" t="str">
        <v/>
      </c>
      <c r="AQ9" s="160" t="str">
        <v/>
      </c>
      <c r="AR9" s="160" t="str">
        <v/>
      </c>
      <c r="AS9" s="160" t="str">
        <v/>
      </c>
      <c r="AT9" s="161" t="str">
        <v/>
      </c>
      <c r="AU9" s="86" cm="1">
        <f t="array" ref="AU9">ContarTurnos(P9:AT9)</f>
        <v>0</v>
      </c>
      <c r="AV9" s="82">
        <f t="shared" si="0"/>
        <v>31</v>
      </c>
      <c r="AW9" s="82">
        <f t="shared" si="1"/>
        <v>31</v>
      </c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</row>
    <row r="10" spans="1:98" ht="15" customHeight="1" thickBot="1" x14ac:dyDescent="0.3">
      <c r="A10"/>
      <c r="B10" s="219"/>
      <c r="C10" s="220"/>
      <c r="D10"/>
      <c r="E10"/>
      <c r="F10" s="219"/>
      <c r="G10" s="220"/>
      <c r="H10"/>
      <c r="I10"/>
      <c r="J10" s="219"/>
      <c r="K10" s="220"/>
      <c r="L10"/>
      <c r="M10"/>
      <c r="N10" s="222"/>
      <c r="O10"/>
      <c r="P10" s="162" t="str">
        <v/>
      </c>
      <c r="Q10" s="163" t="str">
        <v/>
      </c>
      <c r="R10" s="163" t="str">
        <v/>
      </c>
      <c r="S10" s="163" t="str">
        <v/>
      </c>
      <c r="T10" s="163" t="str">
        <v/>
      </c>
      <c r="U10" s="163" t="str">
        <v/>
      </c>
      <c r="V10" s="163" t="str">
        <v/>
      </c>
      <c r="W10" s="163" t="str">
        <v/>
      </c>
      <c r="X10" s="163" t="str">
        <v/>
      </c>
      <c r="Y10" s="163" t="str">
        <v/>
      </c>
      <c r="Z10" s="163" t="str">
        <v/>
      </c>
      <c r="AA10" s="163" t="str">
        <v/>
      </c>
      <c r="AB10" s="163" t="str">
        <v/>
      </c>
      <c r="AC10" s="163" t="str">
        <v/>
      </c>
      <c r="AD10" s="163" t="str">
        <v/>
      </c>
      <c r="AE10" s="163" t="str">
        <v/>
      </c>
      <c r="AF10" s="163" t="str">
        <v/>
      </c>
      <c r="AG10" s="163" t="str">
        <v/>
      </c>
      <c r="AH10" s="163" t="str">
        <v/>
      </c>
      <c r="AI10" s="163" t="str">
        <v/>
      </c>
      <c r="AJ10" s="163" t="str">
        <v/>
      </c>
      <c r="AK10" s="163" t="str">
        <v/>
      </c>
      <c r="AL10" s="163" t="str">
        <v/>
      </c>
      <c r="AM10" s="163" t="str">
        <v/>
      </c>
      <c r="AN10" s="163" t="str">
        <v/>
      </c>
      <c r="AO10" s="163" t="str">
        <v/>
      </c>
      <c r="AP10" s="163" t="str">
        <v/>
      </c>
      <c r="AQ10" s="163" t="str">
        <v/>
      </c>
      <c r="AR10" s="163" t="str">
        <v/>
      </c>
      <c r="AS10" s="163" t="str">
        <v/>
      </c>
      <c r="AT10" s="164" t="str">
        <v/>
      </c>
      <c r="AU10" s="87" cm="1">
        <f t="array" ref="AU10">ContarTurnos(P10:AT10)</f>
        <v>0</v>
      </c>
      <c r="AV10" s="88">
        <f t="shared" si="0"/>
        <v>31</v>
      </c>
      <c r="AW10" s="88">
        <f t="shared" si="1"/>
        <v>31</v>
      </c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</row>
    <row r="11" spans="1:98" ht="15.75" thickBot="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159" t="str">
        <v/>
      </c>
      <c r="Q11" s="160" t="str">
        <v/>
      </c>
      <c r="R11" s="160" t="str">
        <v/>
      </c>
      <c r="S11" s="160" t="str">
        <v/>
      </c>
      <c r="T11" s="160" t="str">
        <v/>
      </c>
      <c r="U11" s="160" t="str">
        <v/>
      </c>
      <c r="V11" s="160" t="str">
        <v/>
      </c>
      <c r="W11" s="160" t="str">
        <v/>
      </c>
      <c r="X11" s="160" t="str">
        <v/>
      </c>
      <c r="Y11" s="160" t="str">
        <v/>
      </c>
      <c r="Z11" s="160" t="str">
        <v/>
      </c>
      <c r="AA11" s="160" t="str">
        <v/>
      </c>
      <c r="AB11" s="160" t="str">
        <v/>
      </c>
      <c r="AC11" s="160" t="str">
        <v/>
      </c>
      <c r="AD11" s="160" t="str">
        <v/>
      </c>
      <c r="AE11" s="160" t="str">
        <v/>
      </c>
      <c r="AF11" s="160" t="str">
        <v/>
      </c>
      <c r="AG11" s="160" t="str">
        <v/>
      </c>
      <c r="AH11" s="160" t="str">
        <v/>
      </c>
      <c r="AI11" s="160" t="str">
        <v/>
      </c>
      <c r="AJ11" s="160" t="str">
        <v/>
      </c>
      <c r="AK11" s="160" t="str">
        <v/>
      </c>
      <c r="AL11" s="160" t="str">
        <v/>
      </c>
      <c r="AM11" s="160" t="str">
        <v/>
      </c>
      <c r="AN11" s="160" t="str">
        <v/>
      </c>
      <c r="AO11" s="160" t="str">
        <v/>
      </c>
      <c r="AP11" s="160" t="str">
        <v/>
      </c>
      <c r="AQ11" s="160" t="str">
        <v/>
      </c>
      <c r="AR11" s="160" t="str">
        <v/>
      </c>
      <c r="AS11" s="160" t="str">
        <v/>
      </c>
      <c r="AT11" s="161" t="str">
        <v/>
      </c>
      <c r="AU11" s="86" cm="1">
        <f t="array" ref="AU11">ContarTurnos(P11:AT11)</f>
        <v>0</v>
      </c>
      <c r="AV11" s="82">
        <f t="shared" si="0"/>
        <v>31</v>
      </c>
      <c r="AW11" s="82">
        <f t="shared" si="1"/>
        <v>31</v>
      </c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</row>
    <row r="12" spans="1:98" ht="15.75" thickBo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162" t="str">
        <v/>
      </c>
      <c r="Q12" s="163" t="str">
        <v/>
      </c>
      <c r="R12" s="163" t="str">
        <v/>
      </c>
      <c r="S12" s="163" t="str">
        <v/>
      </c>
      <c r="T12" s="163" t="str">
        <v/>
      </c>
      <c r="U12" s="163" t="str">
        <v/>
      </c>
      <c r="V12" s="163" t="str">
        <v/>
      </c>
      <c r="W12" s="163" t="str">
        <v/>
      </c>
      <c r="X12" s="163" t="str">
        <v/>
      </c>
      <c r="Y12" s="163" t="str">
        <v/>
      </c>
      <c r="Z12" s="163" t="str">
        <v/>
      </c>
      <c r="AA12" s="163" t="str">
        <v/>
      </c>
      <c r="AB12" s="163" t="str">
        <v/>
      </c>
      <c r="AC12" s="163" t="str">
        <v/>
      </c>
      <c r="AD12" s="163" t="str">
        <v/>
      </c>
      <c r="AE12" s="163" t="str">
        <v/>
      </c>
      <c r="AF12" s="163" t="str">
        <v/>
      </c>
      <c r="AG12" s="163" t="str">
        <v/>
      </c>
      <c r="AH12" s="163" t="str">
        <v/>
      </c>
      <c r="AI12" s="163" t="str">
        <v/>
      </c>
      <c r="AJ12" s="163" t="str">
        <v/>
      </c>
      <c r="AK12" s="163" t="str">
        <v/>
      </c>
      <c r="AL12" s="163" t="str">
        <v/>
      </c>
      <c r="AM12" s="163" t="str">
        <v/>
      </c>
      <c r="AN12" s="163" t="str">
        <v/>
      </c>
      <c r="AO12" s="163" t="str">
        <v/>
      </c>
      <c r="AP12" s="163" t="str">
        <v/>
      </c>
      <c r="AQ12" s="163" t="str">
        <v/>
      </c>
      <c r="AR12" s="163" t="str">
        <v/>
      </c>
      <c r="AS12" s="163" t="str">
        <v/>
      </c>
      <c r="AT12" s="164" t="str">
        <v/>
      </c>
      <c r="AU12" s="87" cm="1">
        <f t="array" ref="AU12">ContarTurnos(P12:AT12)</f>
        <v>0</v>
      </c>
      <c r="AV12" s="88">
        <f t="shared" si="0"/>
        <v>31</v>
      </c>
      <c r="AW12" s="88">
        <f t="shared" si="1"/>
        <v>31</v>
      </c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</row>
    <row r="13" spans="1:98" ht="15.75" thickBo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159" t="str">
        <v/>
      </c>
      <c r="Q13" s="160" t="str">
        <v/>
      </c>
      <c r="R13" s="160" t="str">
        <v/>
      </c>
      <c r="S13" s="160" t="str">
        <v/>
      </c>
      <c r="T13" s="160" t="str">
        <v/>
      </c>
      <c r="U13" s="160" t="str">
        <v/>
      </c>
      <c r="V13" s="160" t="str">
        <v/>
      </c>
      <c r="W13" s="160" t="str">
        <v/>
      </c>
      <c r="X13" s="160" t="str">
        <v/>
      </c>
      <c r="Y13" s="160" t="str">
        <v/>
      </c>
      <c r="Z13" s="160" t="str">
        <v/>
      </c>
      <c r="AA13" s="160" t="str">
        <v/>
      </c>
      <c r="AB13" s="160" t="str">
        <v/>
      </c>
      <c r="AC13" s="160" t="str">
        <v/>
      </c>
      <c r="AD13" s="160" t="str">
        <v/>
      </c>
      <c r="AE13" s="160" t="str">
        <v/>
      </c>
      <c r="AF13" s="160" t="str">
        <v/>
      </c>
      <c r="AG13" s="160" t="str">
        <v/>
      </c>
      <c r="AH13" s="160" t="str">
        <v/>
      </c>
      <c r="AI13" s="160" t="str">
        <v/>
      </c>
      <c r="AJ13" s="160" t="str">
        <v/>
      </c>
      <c r="AK13" s="160" t="str">
        <v/>
      </c>
      <c r="AL13" s="160" t="str">
        <v/>
      </c>
      <c r="AM13" s="160" t="str">
        <v/>
      </c>
      <c r="AN13" s="160" t="str">
        <v/>
      </c>
      <c r="AO13" s="160" t="str">
        <v/>
      </c>
      <c r="AP13" s="160" t="str">
        <v/>
      </c>
      <c r="AQ13" s="160" t="str">
        <v/>
      </c>
      <c r="AR13" s="160" t="str">
        <v/>
      </c>
      <c r="AS13" s="160" t="str">
        <v/>
      </c>
      <c r="AT13" s="161" t="str">
        <v/>
      </c>
      <c r="AU13" s="86" cm="1">
        <f t="array" ref="AU13">ContarTurnos(P13:AT13)</f>
        <v>0</v>
      </c>
      <c r="AV13" s="82">
        <f t="shared" si="0"/>
        <v>31</v>
      </c>
      <c r="AW13" s="82">
        <f t="shared" si="1"/>
        <v>31</v>
      </c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</row>
    <row r="14" spans="1:98" ht="15.75" thickBo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162" t="str">
        <v/>
      </c>
      <c r="Q14" s="163" t="str">
        <v/>
      </c>
      <c r="R14" s="163" t="str">
        <v/>
      </c>
      <c r="S14" s="163" t="str">
        <v/>
      </c>
      <c r="T14" s="163" t="str">
        <v/>
      </c>
      <c r="U14" s="163" t="str">
        <v/>
      </c>
      <c r="V14" s="163" t="str">
        <v/>
      </c>
      <c r="W14" s="163" t="str">
        <v/>
      </c>
      <c r="X14" s="163" t="str">
        <v/>
      </c>
      <c r="Y14" s="163" t="str">
        <v/>
      </c>
      <c r="Z14" s="163" t="str">
        <v/>
      </c>
      <c r="AA14" s="163" t="str">
        <v/>
      </c>
      <c r="AB14" s="163" t="str">
        <v/>
      </c>
      <c r="AC14" s="163" t="str">
        <v/>
      </c>
      <c r="AD14" s="163" t="str">
        <v/>
      </c>
      <c r="AE14" s="163" t="str">
        <v/>
      </c>
      <c r="AF14" s="163" t="str">
        <v/>
      </c>
      <c r="AG14" s="163" t="str">
        <v/>
      </c>
      <c r="AH14" s="163" t="str">
        <v/>
      </c>
      <c r="AI14" s="163" t="str">
        <v/>
      </c>
      <c r="AJ14" s="163" t="str">
        <v/>
      </c>
      <c r="AK14" s="163" t="str">
        <v/>
      </c>
      <c r="AL14" s="163" t="str">
        <v/>
      </c>
      <c r="AM14" s="163" t="str">
        <v/>
      </c>
      <c r="AN14" s="163" t="str">
        <v/>
      </c>
      <c r="AO14" s="163" t="str">
        <v/>
      </c>
      <c r="AP14" s="163" t="str">
        <v/>
      </c>
      <c r="AQ14" s="163" t="str">
        <v/>
      </c>
      <c r="AR14" s="163" t="str">
        <v/>
      </c>
      <c r="AS14" s="163" t="str">
        <v/>
      </c>
      <c r="AT14" s="164" t="str">
        <v/>
      </c>
      <c r="AU14" s="87" cm="1">
        <f t="array" ref="AU14">ContarTurnos(P14:AT14)</f>
        <v>0</v>
      </c>
      <c r="AV14" s="88">
        <f t="shared" si="0"/>
        <v>31</v>
      </c>
      <c r="AW14" s="88">
        <f t="shared" si="1"/>
        <v>31</v>
      </c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</row>
    <row r="15" spans="1:98" ht="15.75" thickBo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165" t="str">
        <v/>
      </c>
      <c r="Q15" s="166" t="str">
        <v/>
      </c>
      <c r="R15" s="166" t="str">
        <v/>
      </c>
      <c r="S15" s="166" t="str">
        <v/>
      </c>
      <c r="T15" s="166" t="str">
        <v/>
      </c>
      <c r="U15" s="166" t="str">
        <v/>
      </c>
      <c r="V15" s="166" t="str">
        <v/>
      </c>
      <c r="W15" s="166" t="str">
        <v/>
      </c>
      <c r="X15" s="166" t="str">
        <v/>
      </c>
      <c r="Y15" s="166" t="str">
        <v/>
      </c>
      <c r="Z15" s="166" t="str">
        <v/>
      </c>
      <c r="AA15" s="166" t="str">
        <v/>
      </c>
      <c r="AB15" s="166" t="str">
        <v/>
      </c>
      <c r="AC15" s="166" t="str">
        <v/>
      </c>
      <c r="AD15" s="166" t="str">
        <v/>
      </c>
      <c r="AE15" s="166" t="str">
        <v/>
      </c>
      <c r="AF15" s="166" t="str">
        <v/>
      </c>
      <c r="AG15" s="166" t="str">
        <v/>
      </c>
      <c r="AH15" s="166" t="str">
        <v/>
      </c>
      <c r="AI15" s="166" t="str">
        <v/>
      </c>
      <c r="AJ15" s="166" t="str">
        <v/>
      </c>
      <c r="AK15" s="166" t="str">
        <v/>
      </c>
      <c r="AL15" s="166" t="str">
        <v/>
      </c>
      <c r="AM15" s="166" t="str">
        <v/>
      </c>
      <c r="AN15" s="166" t="str">
        <v/>
      </c>
      <c r="AO15" s="166" t="str">
        <v/>
      </c>
      <c r="AP15" s="166" t="str">
        <v/>
      </c>
      <c r="AQ15" s="166" t="str">
        <v/>
      </c>
      <c r="AR15" s="166" t="str">
        <v/>
      </c>
      <c r="AS15" s="166" t="str">
        <v/>
      </c>
      <c r="AT15" s="167" t="str">
        <v/>
      </c>
      <c r="AU15" s="79" cm="1">
        <f t="array" ref="AU15">ContarTurnos(P15:AT15)</f>
        <v>0</v>
      </c>
      <c r="AV15" s="82">
        <f t="shared" si="0"/>
        <v>31</v>
      </c>
      <c r="AW15" s="82">
        <f t="shared" si="1"/>
        <v>31</v>
      </c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</row>
    <row r="16" spans="1:98" x14ac:dyDescent="0.25">
      <c r="A16"/>
      <c r="B16" s="154"/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/>
      <c r="N16"/>
      <c r="O16"/>
      <c r="P16"/>
      <c r="Q16"/>
      <c r="R16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/>
      <c r="AE16"/>
      <c r="AF16"/>
      <c r="AG16"/>
      <c r="AH16"/>
      <c r="AI16"/>
      <c r="AJ16" s="154"/>
      <c r="AK16" s="154"/>
      <c r="AL16" s="154"/>
      <c r="AM16" s="154"/>
      <c r="AN16" s="154"/>
      <c r="AO16" s="154"/>
      <c r="AP16" s="154"/>
      <c r="AQ16" s="154"/>
      <c r="AR16" s="154"/>
      <c r="AS16" s="154"/>
      <c r="AT16" s="154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</row>
    <row r="17" spans="1:89" x14ac:dyDescent="0.25">
      <c r="A17"/>
      <c r="B17" s="154"/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/>
      <c r="N17"/>
      <c r="O17"/>
      <c r="P17" s="154"/>
      <c r="Q17" s="154"/>
      <c r="R17" s="154"/>
      <c r="S17" s="154"/>
      <c r="T17" s="154"/>
      <c r="U17" s="154"/>
      <c r="V17" s="154"/>
      <c r="W17" s="154"/>
      <c r="X17"/>
      <c r="Y17"/>
      <c r="Z17"/>
      <c r="AA17"/>
      <c r="AB17"/>
      <c r="AC17"/>
      <c r="AD17" s="154"/>
      <c r="AE17" s="154"/>
      <c r="AF17" s="154"/>
      <c r="AG17" s="154"/>
      <c r="AH17" s="154"/>
      <c r="AI17" s="154"/>
      <c r="AJ17" s="154"/>
      <c r="AK17" s="154"/>
      <c r="AL17" s="154"/>
      <c r="AM17" s="154"/>
      <c r="AN17" s="154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</row>
    <row r="18" spans="1:89" x14ac:dyDescent="0.25">
      <c r="A18"/>
      <c r="B18" s="154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/>
      <c r="N18"/>
      <c r="O18"/>
      <c r="P18" s="154"/>
      <c r="Q18" s="154"/>
      <c r="R18" s="154"/>
      <c r="S18" s="154"/>
      <c r="T18" s="154"/>
      <c r="U18" s="154"/>
      <c r="V18" s="154"/>
      <c r="W18" s="154"/>
      <c r="X18"/>
      <c r="Y18"/>
      <c r="Z18"/>
      <c r="AA18"/>
      <c r="AB18"/>
      <c r="AC18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</row>
    <row r="19" spans="1:89" x14ac:dyDescent="0.25">
      <c r="A19"/>
      <c r="B19" s="154"/>
      <c r="C19" s="154"/>
      <c r="D19" s="154"/>
      <c r="E19" s="154"/>
      <c r="F19" s="154"/>
      <c r="G19" s="154"/>
      <c r="H19" s="154"/>
      <c r="I19" s="154"/>
      <c r="J19" s="154"/>
      <c r="K19" s="154"/>
      <c r="L19" s="154"/>
      <c r="M19"/>
      <c r="N19"/>
      <c r="O19"/>
      <c r="P19" s="154"/>
      <c r="Q19" s="154"/>
      <c r="R19" s="154"/>
      <c r="S19" s="154"/>
      <c r="T19" s="154"/>
      <c r="U19" s="154"/>
      <c r="V19" s="154"/>
      <c r="W19" s="154"/>
      <c r="X19"/>
      <c r="Y19"/>
      <c r="Z19"/>
      <c r="AA19"/>
      <c r="AB19"/>
      <c r="AC19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54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</row>
    <row r="20" spans="1:89" x14ac:dyDescent="0.25">
      <c r="A20"/>
      <c r="B20" s="154"/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/>
      <c r="N20"/>
      <c r="O20"/>
      <c r="P20" s="154"/>
      <c r="Q20" s="154"/>
      <c r="R20" s="154"/>
      <c r="S20" s="154"/>
      <c r="T20" s="154"/>
      <c r="U20" s="154"/>
      <c r="V20" s="154"/>
      <c r="W20" s="154"/>
      <c r="X20"/>
      <c r="Y20"/>
      <c r="Z20"/>
      <c r="AA20"/>
      <c r="AB20"/>
      <c r="AC20"/>
      <c r="AD20" s="154"/>
      <c r="AE20" s="154"/>
      <c r="AF20" s="154"/>
      <c r="AG20" s="154"/>
      <c r="AH20" s="154"/>
      <c r="AI20" s="154"/>
      <c r="AJ20" s="154"/>
      <c r="AK20" s="154"/>
      <c r="AL20" s="154"/>
      <c r="AM20" s="154"/>
      <c r="AN20" s="154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</row>
    <row r="21" spans="1:89" x14ac:dyDescent="0.25">
      <c r="A21"/>
      <c r="B21" s="154"/>
      <c r="C21" s="154"/>
      <c r="D21" s="154"/>
      <c r="E21" s="154"/>
      <c r="F21" s="154"/>
      <c r="G21" s="154"/>
      <c r="H21" s="154"/>
      <c r="I21" s="154"/>
      <c r="J21" s="154"/>
      <c r="K21" s="154"/>
      <c r="L21" s="154"/>
      <c r="M21"/>
      <c r="N21"/>
      <c r="O21"/>
      <c r="P21" s="154"/>
      <c r="Q21" s="154"/>
      <c r="R21" s="154"/>
      <c r="S21" s="154"/>
      <c r="T21" s="154"/>
      <c r="U21" s="154"/>
      <c r="V21" s="154"/>
      <c r="W21" s="154"/>
      <c r="X21"/>
      <c r="Y21"/>
      <c r="Z21"/>
      <c r="AA21"/>
      <c r="AB21"/>
      <c r="AC21"/>
      <c r="AD21" s="154"/>
      <c r="AE21" s="154"/>
      <c r="AF21" s="154"/>
      <c r="AG21" s="154"/>
      <c r="AH21" s="154"/>
      <c r="AI21" s="154"/>
      <c r="AJ21" s="154"/>
      <c r="AK21" s="154"/>
      <c r="AL21" s="154"/>
      <c r="AM21" s="154"/>
      <c r="AN21" s="154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</row>
    <row r="22" spans="1:89" x14ac:dyDescent="0.25">
      <c r="A22"/>
      <c r="B22" s="154"/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/>
      <c r="N22"/>
      <c r="O22"/>
      <c r="P22" s="154"/>
      <c r="Q22" s="154"/>
      <c r="R22" s="154"/>
      <c r="S22" s="154"/>
      <c r="T22" s="154"/>
      <c r="U22" s="154"/>
      <c r="V22" s="154"/>
      <c r="W22" s="154"/>
      <c r="X22"/>
      <c r="Y22"/>
      <c r="Z22"/>
      <c r="AA22"/>
      <c r="AB22"/>
      <c r="AC22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54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</row>
    <row r="23" spans="1:89" x14ac:dyDescent="0.25">
      <c r="A23"/>
      <c r="B23" s="154"/>
      <c r="C23" s="154"/>
      <c r="D23" s="154"/>
      <c r="E23" s="154"/>
      <c r="F23" s="154"/>
      <c r="G23" s="154"/>
      <c r="H23" s="154"/>
      <c r="I23" s="154"/>
      <c r="J23" s="154"/>
      <c r="K23" s="154"/>
      <c r="L23" s="154"/>
      <c r="M23"/>
      <c r="N23"/>
      <c r="O23"/>
      <c r="P23" s="154"/>
      <c r="Q23" s="154"/>
      <c r="R23" s="154"/>
      <c r="S23" s="154"/>
      <c r="T23" s="154"/>
      <c r="U23" s="154"/>
      <c r="V23" s="154"/>
      <c r="W23" s="154"/>
      <c r="X23"/>
      <c r="Y23"/>
      <c r="Z23"/>
      <c r="AA23"/>
      <c r="AB23"/>
      <c r="AC23"/>
      <c r="AD23" s="154"/>
      <c r="AE23" s="154"/>
      <c r="AF23" s="154"/>
      <c r="AG23" s="154"/>
      <c r="AH23" s="154"/>
      <c r="AI23" s="154"/>
      <c r="AJ23" s="154"/>
      <c r="AK23" s="154"/>
      <c r="AL23" s="154"/>
      <c r="AM23" s="154"/>
      <c r="AN23" s="154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</row>
    <row r="24" spans="1:89" x14ac:dyDescent="0.25">
      <c r="A24"/>
      <c r="B24" s="154"/>
      <c r="C24" s="154"/>
      <c r="D24" s="154"/>
      <c r="E24" s="154"/>
      <c r="F24" s="154"/>
      <c r="G24" s="154"/>
      <c r="H24" s="154"/>
      <c r="I24" s="154"/>
      <c r="J24" s="154"/>
      <c r="K24" s="154"/>
      <c r="L24" s="154"/>
      <c r="M24"/>
      <c r="N24"/>
      <c r="O24"/>
      <c r="P24" s="154"/>
      <c r="Q24" s="154"/>
      <c r="R24" s="154"/>
      <c r="S24" s="154"/>
      <c r="T24" s="154"/>
      <c r="U24" s="154"/>
      <c r="V24" s="154"/>
      <c r="W24" s="154"/>
      <c r="X24"/>
      <c r="Y24"/>
      <c r="Z24"/>
      <c r="AA24"/>
      <c r="AB24"/>
      <c r="AC24"/>
      <c r="AD24" s="154"/>
      <c r="AE24" s="154"/>
      <c r="AF24" s="154"/>
      <c r="AG24" s="154"/>
      <c r="AH24" s="154"/>
      <c r="AI24" s="154"/>
      <c r="AJ24" s="154"/>
      <c r="AK24" s="154"/>
      <c r="AL24" s="154"/>
      <c r="AM24" s="154"/>
      <c r="AN24" s="15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</row>
    <row r="25" spans="1:89" x14ac:dyDescent="0.25">
      <c r="A25"/>
      <c r="B25" s="154"/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/>
      <c r="N25"/>
      <c r="O25"/>
      <c r="P25" s="154"/>
      <c r="Q25" s="154"/>
      <c r="R25" s="154"/>
      <c r="S25" s="154"/>
      <c r="T25" s="154"/>
      <c r="U25" s="154"/>
      <c r="V25" s="154"/>
      <c r="W25" s="154"/>
      <c r="X25"/>
      <c r="Y25"/>
      <c r="Z25"/>
      <c r="AA25"/>
      <c r="AB25"/>
      <c r="AC25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</row>
    <row r="26" spans="1:89" x14ac:dyDescent="0.25">
      <c r="A26"/>
      <c r="B26" s="154"/>
      <c r="C26" s="154"/>
      <c r="D26" s="154"/>
      <c r="E26" s="154"/>
      <c r="F26" s="154"/>
      <c r="G26" s="154"/>
      <c r="H26" s="154"/>
      <c r="I26" s="154"/>
      <c r="J26" s="154"/>
      <c r="K26" s="154"/>
      <c r="L26" s="154"/>
      <c r="M26"/>
      <c r="N26"/>
      <c r="O26"/>
      <c r="P26" s="154"/>
      <c r="Q26" s="154"/>
      <c r="R26" s="154"/>
      <c r="S26" s="154"/>
      <c r="T26" s="154"/>
      <c r="U26" s="154"/>
      <c r="V26" s="154"/>
      <c r="W26" s="154"/>
      <c r="X26"/>
      <c r="Y26"/>
      <c r="Z26"/>
      <c r="AA26"/>
      <c r="AB26"/>
      <c r="AC26"/>
      <c r="AD26" s="154"/>
      <c r="AE26" s="154"/>
      <c r="AF26" s="154"/>
      <c r="AG26" s="154"/>
      <c r="AH26" s="154"/>
      <c r="AI26" s="154"/>
      <c r="AJ26" s="154"/>
      <c r="AK26" s="154"/>
      <c r="AL26" s="154"/>
      <c r="AM26" s="154"/>
      <c r="AN26" s="154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</row>
    <row r="27" spans="1:89" x14ac:dyDescent="0.25">
      <c r="A27"/>
      <c r="B27" s="154"/>
      <c r="C27" s="154"/>
      <c r="D27" s="154"/>
      <c r="E27" s="154"/>
      <c r="F27" s="154"/>
      <c r="G27" s="154"/>
      <c r="H27" s="154"/>
      <c r="I27" s="154"/>
      <c r="J27" s="154"/>
      <c r="K27" s="154"/>
      <c r="L27" s="154"/>
      <c r="M27"/>
      <c r="N27"/>
      <c r="O27"/>
      <c r="P27"/>
      <c r="Q27"/>
      <c r="R27"/>
      <c r="S27" s="154"/>
      <c r="T27" s="154"/>
      <c r="U27" s="154"/>
      <c r="V27" s="154"/>
      <c r="W27" s="154"/>
      <c r="X27" s="154"/>
      <c r="Y27" s="154"/>
      <c r="Z27" s="154"/>
      <c r="AA27" s="154"/>
      <c r="AB27" s="154"/>
      <c r="AC27" s="154"/>
      <c r="AD27"/>
      <c r="AE27"/>
      <c r="AF27"/>
      <c r="AG27"/>
      <c r="AH27"/>
      <c r="AI27"/>
      <c r="AJ27" s="154"/>
      <c r="AK27" s="154"/>
      <c r="AL27" s="154"/>
      <c r="AM27" s="154"/>
      <c r="AN27" s="154"/>
      <c r="AO27" s="154"/>
      <c r="AP27" s="154"/>
      <c r="AQ27" s="154"/>
      <c r="AR27" s="154"/>
      <c r="AS27" s="154"/>
      <c r="AT27" s="154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</row>
    <row r="28" spans="1:89" x14ac:dyDescent="0.25">
      <c r="A28"/>
      <c r="B28" s="154"/>
      <c r="C28" s="154"/>
      <c r="D28" s="154"/>
      <c r="E28" s="154"/>
      <c r="F28" s="154"/>
      <c r="G28" s="154"/>
      <c r="H28" s="154"/>
      <c r="I28" s="154"/>
      <c r="J28" s="154"/>
      <c r="K28" s="154"/>
      <c r="L28" s="154"/>
      <c r="M28"/>
      <c r="N28"/>
      <c r="O28"/>
      <c r="P28"/>
      <c r="Q28"/>
      <c r="R28"/>
      <c r="S28" s="154"/>
      <c r="T28" s="154"/>
      <c r="U28" s="154"/>
      <c r="V28" s="154"/>
      <c r="W28" s="154"/>
      <c r="X28" s="154"/>
      <c r="Y28" s="154"/>
      <c r="Z28" s="154"/>
      <c r="AA28" s="154"/>
      <c r="AB28" s="154"/>
      <c r="AC28" s="154"/>
      <c r="AD28"/>
      <c r="AE28"/>
      <c r="AF28"/>
      <c r="AG28"/>
      <c r="AH28"/>
      <c r="AI28"/>
      <c r="AJ28" s="154"/>
      <c r="AK28" s="154"/>
      <c r="AL28" s="154"/>
      <c r="AM28" s="154"/>
      <c r="AN28" s="154"/>
      <c r="AO28" s="154"/>
      <c r="AP28" s="154"/>
      <c r="AQ28" s="154"/>
      <c r="AR28" s="154"/>
      <c r="AS28" s="154"/>
      <c r="AT28" s="154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</row>
    <row r="29" spans="1:89" x14ac:dyDescent="0.25">
      <c r="A29"/>
      <c r="B29" s="154"/>
      <c r="C29" s="154"/>
      <c r="D29" s="154"/>
      <c r="E29" s="154"/>
      <c r="F29" s="154"/>
      <c r="G29" s="154"/>
      <c r="H29" s="154"/>
      <c r="I29" s="154"/>
      <c r="J29" s="154"/>
      <c r="K29" s="154"/>
      <c r="L29" s="154"/>
      <c r="M29"/>
      <c r="N29"/>
      <c r="O29"/>
      <c r="P29"/>
      <c r="Q29"/>
      <c r="R29"/>
      <c r="S29" s="154"/>
      <c r="T29" s="154"/>
      <c r="U29" s="154"/>
      <c r="V29" s="154"/>
      <c r="W29" s="154"/>
      <c r="X29" s="154"/>
      <c r="Y29" s="154"/>
      <c r="Z29" s="154"/>
      <c r="AA29" s="154"/>
      <c r="AB29" s="154"/>
      <c r="AC29" s="154"/>
      <c r="AD29"/>
      <c r="AE29"/>
      <c r="AF29"/>
      <c r="AG29"/>
      <c r="AH29"/>
      <c r="AI29"/>
      <c r="AJ29" s="154"/>
      <c r="AK29" s="154"/>
      <c r="AL29" s="154"/>
      <c r="AM29" s="154"/>
      <c r="AN29" s="154"/>
      <c r="AO29" s="154"/>
      <c r="AP29" s="154"/>
      <c r="AQ29" s="154"/>
      <c r="AR29" s="154"/>
      <c r="AS29" s="154"/>
      <c r="AT29" s="154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</row>
    <row r="30" spans="1:89" x14ac:dyDescent="0.25">
      <c r="A30"/>
      <c r="B30" s="154"/>
      <c r="C30" s="154"/>
      <c r="D30" s="154"/>
      <c r="E30" s="154"/>
      <c r="F30" s="154"/>
      <c r="G30" s="154"/>
      <c r="H30" s="154"/>
      <c r="I30" s="154"/>
      <c r="J30" s="154"/>
      <c r="K30" s="154"/>
      <c r="L30" s="154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</row>
    <row r="31" spans="1:89" x14ac:dyDescent="0.25">
      <c r="A31"/>
      <c r="B31" s="154"/>
      <c r="C31" s="154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4"/>
      <c r="O31" s="154"/>
      <c r="P31" s="154"/>
      <c r="Q31" s="154"/>
      <c r="R31" s="154"/>
      <c r="S31" s="154"/>
      <c r="T31" s="154"/>
      <c r="U31" s="154"/>
      <c r="V31" s="154"/>
      <c r="W31" s="154"/>
      <c r="X31" s="154"/>
      <c r="Y31" s="154"/>
      <c r="Z31" s="154"/>
      <c r="AA31" s="154"/>
      <c r="AB31" s="154"/>
      <c r="AC31" s="154"/>
      <c r="AD31" s="154"/>
      <c r="AE31" s="154"/>
      <c r="AF31" s="154"/>
      <c r="AG31" s="154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</row>
    <row r="32" spans="1:89" x14ac:dyDescent="0.25">
      <c r="A32"/>
      <c r="B32" s="154"/>
      <c r="C32" s="154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4"/>
      <c r="O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Z32" s="154"/>
      <c r="AA32" s="154"/>
      <c r="AB32" s="154"/>
      <c r="AC32" s="154"/>
      <c r="AD32" s="154"/>
      <c r="AE32" s="154"/>
      <c r="AF32" s="154"/>
      <c r="AG32" s="154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</row>
    <row r="33" spans="1:70" x14ac:dyDescent="0.25">
      <c r="A33"/>
      <c r="B33" s="154"/>
      <c r="C33" s="154"/>
      <c r="D33" s="154"/>
      <c r="E33" s="154"/>
      <c r="F33" s="154"/>
      <c r="G33" s="154"/>
      <c r="H33" s="154"/>
      <c r="I33" s="154"/>
      <c r="J33" s="154"/>
      <c r="K33" s="154"/>
      <c r="L33" s="154"/>
      <c r="M33" s="154"/>
      <c r="N33" s="154"/>
      <c r="O33" s="154"/>
      <c r="P33" s="154"/>
      <c r="Q33" s="154"/>
      <c r="R33" s="154"/>
      <c r="S33" s="154"/>
      <c r="T33" s="154"/>
      <c r="U33" s="154"/>
      <c r="V33" s="154"/>
      <c r="W33"/>
      <c r="X33"/>
      <c r="Y33"/>
      <c r="Z33"/>
      <c r="AA33"/>
      <c r="AB33"/>
      <c r="AC33" s="154"/>
      <c r="AD33" s="154"/>
      <c r="AE33" s="154"/>
      <c r="AF33" s="154"/>
      <c r="AG33" s="154"/>
      <c r="AH33" s="154"/>
      <c r="AI33" s="154"/>
      <c r="AJ33" s="154"/>
      <c r="AK33" s="154"/>
      <c r="AL33" s="154"/>
      <c r="AM33" s="154"/>
      <c r="AN33"/>
      <c r="AO33" s="154"/>
      <c r="AP33" s="154"/>
      <c r="AQ33" s="154"/>
      <c r="AR33" s="154"/>
      <c r="AS33" s="154"/>
      <c r="AT33" s="154"/>
      <c r="AU33" s="154"/>
      <c r="AV33" s="154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</row>
    <row r="34" spans="1:70" x14ac:dyDescent="0.25">
      <c r="A34"/>
      <c r="B34" s="154"/>
      <c r="C34" s="154"/>
      <c r="D34" s="154"/>
      <c r="E34" s="154"/>
      <c r="F34" s="154"/>
      <c r="G34" s="154"/>
      <c r="H34" s="154"/>
      <c r="I34" s="154"/>
      <c r="J34" s="154"/>
      <c r="K34" s="154"/>
      <c r="L34" s="154"/>
      <c r="M34" s="154"/>
      <c r="N34" s="154"/>
      <c r="O34" s="154"/>
      <c r="P34" s="154"/>
      <c r="Q34" s="154"/>
      <c r="R34" s="154"/>
      <c r="S34" s="154"/>
      <c r="T34" s="154"/>
      <c r="U34" s="154"/>
      <c r="V34" s="154"/>
      <c r="W34"/>
      <c r="X34"/>
      <c r="Y34"/>
      <c r="Z34"/>
      <c r="AA34"/>
      <c r="AB34"/>
      <c r="AC34" s="154"/>
      <c r="AD34" s="154"/>
      <c r="AE34" s="154"/>
      <c r="AF34" s="154"/>
      <c r="AG34" s="154"/>
      <c r="AH34" s="154"/>
      <c r="AI34" s="154"/>
      <c r="AJ34" s="154"/>
      <c r="AK34" s="154"/>
      <c r="AL34" s="154"/>
      <c r="AM34" s="154"/>
      <c r="AN34"/>
      <c r="AO34" s="154"/>
      <c r="AP34" s="154"/>
      <c r="AQ34" s="154"/>
      <c r="AR34" s="154"/>
      <c r="AS34" s="154"/>
      <c r="AT34" s="154"/>
      <c r="AU34" s="154"/>
      <c r="AV34" s="15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</row>
    <row r="35" spans="1:70" x14ac:dyDescent="0.25">
      <c r="A35"/>
      <c r="B35" s="154"/>
      <c r="C35" s="154"/>
      <c r="D35" s="154"/>
      <c r="E35" s="154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/>
      <c r="X35"/>
      <c r="Y35"/>
      <c r="Z35"/>
      <c r="AA35"/>
      <c r="AB35"/>
      <c r="AC35" s="154"/>
      <c r="AD35" s="154"/>
      <c r="AE35" s="154"/>
      <c r="AF35" s="154"/>
      <c r="AG35" s="154"/>
      <c r="AH35" s="154"/>
      <c r="AI35" s="154"/>
      <c r="AJ35" s="154"/>
      <c r="AK35" s="154"/>
      <c r="AL35" s="154"/>
      <c r="AM35" s="154"/>
      <c r="AN35"/>
      <c r="AO35" s="154"/>
      <c r="AP35" s="154"/>
      <c r="AQ35" s="154"/>
      <c r="AR35" s="154"/>
      <c r="AS35" s="154"/>
      <c r="AT35" s="154"/>
      <c r="AU35" s="154"/>
      <c r="AV35" s="154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</row>
    <row r="36" spans="1:70" x14ac:dyDescent="0.25">
      <c r="A36"/>
      <c r="B36" s="154"/>
      <c r="C36" s="154"/>
      <c r="D36" s="154"/>
      <c r="E36" s="154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54"/>
      <c r="R36" s="154"/>
      <c r="S36" s="154"/>
      <c r="T36" s="154"/>
      <c r="U36" s="154"/>
      <c r="V36" s="154"/>
      <c r="W36"/>
      <c r="X36"/>
      <c r="Y36"/>
      <c r="Z36"/>
      <c r="AA36"/>
      <c r="AB36"/>
      <c r="AC36" s="154"/>
      <c r="AD36" s="154"/>
      <c r="AE36" s="154"/>
      <c r="AF36" s="154"/>
      <c r="AG36" s="154"/>
      <c r="AH36" s="154"/>
      <c r="AI36" s="154"/>
      <c r="AJ36" s="154"/>
      <c r="AK36" s="154"/>
      <c r="AL36" s="154"/>
      <c r="AM36" s="154"/>
      <c r="AN36"/>
      <c r="AO36" s="154"/>
      <c r="AP36" s="154"/>
      <c r="AQ36" s="154"/>
      <c r="AR36" s="154"/>
      <c r="AS36" s="154"/>
      <c r="AT36" s="154"/>
      <c r="AU36" s="154"/>
      <c r="AV36" s="154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</row>
    <row r="37" spans="1:70" x14ac:dyDescent="0.25">
      <c r="A37"/>
      <c r="B37" s="154"/>
      <c r="C37" s="154"/>
      <c r="D37" s="154"/>
      <c r="E37" s="154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54"/>
      <c r="R37" s="154"/>
      <c r="S37" s="154"/>
      <c r="T37" s="154"/>
      <c r="U37" s="154"/>
      <c r="V37" s="154"/>
      <c r="W37"/>
      <c r="X37"/>
      <c r="Y37"/>
      <c r="Z37"/>
      <c r="AA37"/>
      <c r="AB37"/>
      <c r="AC37" s="154"/>
      <c r="AD37" s="154"/>
      <c r="AE37" s="154"/>
      <c r="AF37" s="154"/>
      <c r="AG37" s="154"/>
      <c r="AH37" s="154"/>
      <c r="AI37" s="154"/>
      <c r="AJ37" s="154"/>
      <c r="AK37" s="154"/>
      <c r="AL37" s="154"/>
      <c r="AM37" s="154"/>
      <c r="AN37"/>
      <c r="AO37" s="154"/>
      <c r="AP37" s="154"/>
      <c r="AQ37" s="154"/>
      <c r="AR37" s="154"/>
      <c r="AS37" s="154"/>
      <c r="AT37" s="154"/>
      <c r="AU37" s="154"/>
      <c r="AV37" s="154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</row>
    <row r="38" spans="1:70" x14ac:dyDescent="0.25">
      <c r="A38"/>
      <c r="B38" s="154"/>
      <c r="C38" s="154"/>
      <c r="D38" s="154"/>
      <c r="E38" s="154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54"/>
      <c r="R38" s="154"/>
      <c r="S38" s="154"/>
      <c r="T38" s="154"/>
      <c r="U38" s="154"/>
      <c r="V38" s="154"/>
      <c r="W38"/>
      <c r="X38"/>
      <c r="Y38"/>
      <c r="Z38"/>
      <c r="AA38"/>
      <c r="AB38"/>
      <c r="AC38" s="154"/>
      <c r="AD38" s="154"/>
      <c r="AE38" s="154"/>
      <c r="AF38" s="154"/>
      <c r="AG38" s="154"/>
      <c r="AH38" s="154"/>
      <c r="AI38" s="154"/>
      <c r="AJ38" s="154"/>
      <c r="AK38" s="154"/>
      <c r="AL38" s="154"/>
      <c r="AM38" s="154"/>
      <c r="AN38"/>
      <c r="AO38" s="154"/>
      <c r="AP38" s="154"/>
      <c r="AQ38" s="154"/>
      <c r="AR38" s="154"/>
      <c r="AS38" s="154"/>
      <c r="AT38" s="154"/>
      <c r="AU38" s="154"/>
      <c r="AV38" s="154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</row>
    <row r="39" spans="1:70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 s="154"/>
      <c r="P39" s="154"/>
      <c r="Q39" s="154"/>
      <c r="R39" s="154"/>
      <c r="S39" s="154"/>
      <c r="T39" s="154"/>
      <c r="U39" s="154"/>
      <c r="V39" s="154"/>
      <c r="W39" s="154"/>
      <c r="X39" s="154"/>
      <c r="Y39" s="154"/>
      <c r="Z39" s="154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 s="154"/>
      <c r="AP39" s="154"/>
      <c r="AQ39" s="154"/>
      <c r="AR39" s="154"/>
      <c r="AS39" s="154"/>
      <c r="AT39" s="154"/>
      <c r="AU39" s="154"/>
      <c r="AV39" s="154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</row>
    <row r="40" spans="1:70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/>
      <c r="Z40" s="154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 s="154"/>
      <c r="AP40" s="154"/>
      <c r="AQ40" s="154"/>
      <c r="AR40" s="154"/>
      <c r="AS40" s="154"/>
      <c r="AT40" s="154"/>
      <c r="AU40" s="154"/>
      <c r="AV40" s="154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</row>
    <row r="41" spans="1:70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 s="154"/>
      <c r="P41" s="154"/>
      <c r="Q41" s="154"/>
      <c r="R41" s="154"/>
      <c r="S41" s="154"/>
      <c r="T41" s="154"/>
      <c r="U41" s="154"/>
      <c r="V41" s="154"/>
      <c r="W41"/>
      <c r="X41"/>
      <c r="Y41"/>
      <c r="Z41"/>
      <c r="AA41"/>
      <c r="AB41"/>
      <c r="AC41" s="154"/>
      <c r="AD41" s="154"/>
      <c r="AE41" s="154"/>
      <c r="AF41" s="154"/>
      <c r="AG41" s="154"/>
      <c r="AH41" s="154"/>
      <c r="AI41" s="154"/>
      <c r="AJ41" s="154"/>
      <c r="AK41" s="154"/>
      <c r="AL41" s="154"/>
      <c r="AM41" s="154"/>
      <c r="AN41"/>
      <c r="AO41" s="154"/>
      <c r="AP41" s="154"/>
      <c r="AQ41" s="154"/>
      <c r="AR41" s="154"/>
      <c r="AS41" s="154"/>
      <c r="AT41" s="154"/>
      <c r="AU41" s="154"/>
      <c r="AV41" s="154"/>
      <c r="AW41" s="154"/>
      <c r="AX41" s="154"/>
      <c r="AY41" s="154"/>
      <c r="AZ41" s="154"/>
      <c r="BA41" s="154"/>
      <c r="BB41"/>
      <c r="BC41" s="154"/>
      <c r="BD41" s="154"/>
      <c r="BE41" s="154"/>
      <c r="BF41" s="154"/>
      <c r="BG41" s="154"/>
      <c r="BH41" s="154"/>
      <c r="BI41" s="154"/>
      <c r="BJ41" s="154"/>
      <c r="BK41" s="154"/>
      <c r="BL41" s="154"/>
      <c r="BM41" s="154"/>
      <c r="BN41"/>
      <c r="BO41" s="154"/>
      <c r="BP41" s="154"/>
      <c r="BQ41" s="154"/>
      <c r="BR41" s="154"/>
    </row>
    <row r="42" spans="1:70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 s="154"/>
      <c r="P42" s="154"/>
      <c r="Q42" s="154"/>
      <c r="R42" s="154"/>
      <c r="S42" s="154"/>
      <c r="T42" s="154"/>
      <c r="U42" s="154"/>
      <c r="V42" s="154"/>
      <c r="W42"/>
      <c r="X42"/>
      <c r="Y42"/>
      <c r="Z42"/>
      <c r="AA42"/>
      <c r="AB42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/>
      <c r="BC42" s="154"/>
      <c r="BD42" s="154"/>
      <c r="BE42" s="154"/>
      <c r="BF42" s="154"/>
      <c r="BG42" s="154"/>
      <c r="BH42" s="154"/>
      <c r="BI42" s="154"/>
      <c r="BJ42" s="154"/>
      <c r="BK42" s="154"/>
      <c r="BL42" s="154"/>
      <c r="BM42" s="154"/>
      <c r="BN42"/>
      <c r="BO42" s="154"/>
      <c r="BP42" s="154"/>
      <c r="BQ42" s="154"/>
      <c r="BR42" s="154"/>
    </row>
    <row r="43" spans="1:70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 s="154"/>
      <c r="P43" s="154"/>
      <c r="Q43" s="154"/>
      <c r="R43" s="154"/>
      <c r="S43" s="154"/>
      <c r="T43" s="154"/>
      <c r="U43" s="154"/>
      <c r="V43" s="154"/>
      <c r="W43"/>
      <c r="X43"/>
      <c r="Y43"/>
      <c r="Z43"/>
      <c r="AA43"/>
      <c r="AB43"/>
      <c r="AC43" s="154"/>
      <c r="AD43" s="154"/>
      <c r="AE43" s="154"/>
      <c r="AF43" s="154"/>
      <c r="AG43" s="154"/>
      <c r="AH43" s="154"/>
      <c r="AI43" s="154"/>
      <c r="AJ43" s="154"/>
      <c r="AK43" s="154"/>
      <c r="AL43" s="154"/>
      <c r="AM43" s="154"/>
      <c r="AN43"/>
      <c r="AO43" s="154"/>
      <c r="AP43" s="154"/>
      <c r="AQ43" s="154"/>
      <c r="AR43" s="154"/>
      <c r="AS43" s="154"/>
      <c r="AT43" s="154"/>
      <c r="AU43"/>
      <c r="AV43"/>
      <c r="AW43"/>
      <c r="AX43"/>
      <c r="AY43"/>
      <c r="AZ43"/>
      <c r="BA43"/>
      <c r="BB43"/>
      <c r="BC43" s="154"/>
      <c r="BD43" s="154"/>
      <c r="BE43" s="154"/>
      <c r="BF43" s="154"/>
      <c r="BG43"/>
      <c r="BH43"/>
      <c r="BI43"/>
      <c r="BJ43"/>
      <c r="BK43"/>
      <c r="BL43"/>
      <c r="BM43"/>
      <c r="BN43"/>
      <c r="BO43" s="154"/>
      <c r="BP43" s="154"/>
      <c r="BQ43" s="154"/>
      <c r="BR43" s="154"/>
    </row>
    <row r="44" spans="1:70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 s="154"/>
      <c r="P44" s="154"/>
      <c r="Q44" s="154"/>
      <c r="R44" s="154"/>
      <c r="S44" s="154"/>
      <c r="T44" s="154"/>
      <c r="U44" s="154"/>
      <c r="V44" s="154"/>
      <c r="W44"/>
      <c r="X44"/>
      <c r="Y44"/>
      <c r="Z44"/>
      <c r="AA44"/>
      <c r="AB44"/>
      <c r="AC44" s="154"/>
      <c r="AD44" s="154"/>
      <c r="AE44" s="154"/>
      <c r="AF44" s="154"/>
      <c r="AG44" s="154"/>
      <c r="AH44" s="154"/>
      <c r="AI44" s="154"/>
      <c r="AJ44" s="154"/>
      <c r="AK44" s="154"/>
      <c r="AL44" s="154"/>
      <c r="AM44" s="154"/>
      <c r="AN44"/>
      <c r="AO44" s="154"/>
      <c r="AP44" s="154"/>
      <c r="AQ44" s="154"/>
      <c r="AR44" s="154"/>
      <c r="AS44" s="154"/>
      <c r="AT44" s="154"/>
      <c r="AU44"/>
      <c r="AV44"/>
      <c r="AW44"/>
      <c r="AX44"/>
      <c r="AY44"/>
      <c r="AZ44"/>
      <c r="BA44"/>
      <c r="BB44"/>
      <c r="BC44" s="154"/>
      <c r="BD44" s="154"/>
      <c r="BE44" s="154"/>
      <c r="BF44" s="154"/>
      <c r="BG44"/>
      <c r="BH44"/>
      <c r="BI44"/>
      <c r="BJ44"/>
      <c r="BK44"/>
      <c r="BL44"/>
      <c r="BM44"/>
      <c r="BN44"/>
      <c r="BO44" s="154"/>
      <c r="BP44" s="154"/>
      <c r="BQ44" s="154"/>
      <c r="BR44" s="154"/>
    </row>
    <row r="45" spans="1:70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 s="154"/>
      <c r="P45" s="154"/>
      <c r="Q45" s="154"/>
      <c r="R45" s="154"/>
      <c r="S45" s="154"/>
      <c r="T45" s="154"/>
      <c r="U45" s="154"/>
      <c r="V45" s="154"/>
      <c r="W45"/>
      <c r="X45"/>
      <c r="Y45"/>
      <c r="Z45"/>
      <c r="AA45"/>
      <c r="AB45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/>
      <c r="BC45" s="154"/>
      <c r="BD45" s="154"/>
      <c r="BE45" s="154"/>
      <c r="BF45" s="154"/>
      <c r="BG45" s="154"/>
      <c r="BH45" s="154"/>
      <c r="BI45" s="154"/>
      <c r="BJ45" s="154"/>
      <c r="BK45" s="154"/>
      <c r="BL45" s="154"/>
      <c r="BM45" s="154"/>
      <c r="BN45"/>
      <c r="BO45" s="154"/>
      <c r="BP45" s="154"/>
      <c r="BQ45" s="154"/>
      <c r="BR45" s="154"/>
    </row>
    <row r="46" spans="1:70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 s="154"/>
      <c r="P46" s="154"/>
      <c r="Q46" s="154"/>
      <c r="R46" s="154"/>
      <c r="S46" s="154"/>
      <c r="T46" s="154"/>
      <c r="U46" s="154"/>
      <c r="V46" s="154"/>
      <c r="W46"/>
      <c r="X46"/>
      <c r="Y46"/>
      <c r="Z46"/>
      <c r="AA46"/>
      <c r="AB46"/>
      <c r="AC46" s="154"/>
      <c r="AD46" s="154"/>
      <c r="AE46" s="154"/>
      <c r="AF46" s="154"/>
      <c r="AG46" s="154"/>
      <c r="AH46" s="154"/>
      <c r="AI46" s="154"/>
      <c r="AJ46" s="154"/>
      <c r="AK46" s="154"/>
      <c r="AL46" s="154"/>
      <c r="AM46" s="154"/>
      <c r="AN46"/>
      <c r="AO46" s="154"/>
      <c r="AP46" s="154"/>
      <c r="AQ46" s="154"/>
      <c r="AR46" s="154"/>
      <c r="AS46" s="154"/>
      <c r="AT46" s="154"/>
      <c r="AU46" s="154"/>
      <c r="AV46" s="154"/>
      <c r="AW46" s="154"/>
      <c r="AX46" s="154"/>
      <c r="AY46" s="154"/>
      <c r="AZ46" s="154"/>
      <c r="BA46" s="154"/>
      <c r="BB46"/>
      <c r="BC46" s="154"/>
      <c r="BD46" s="154"/>
      <c r="BE46" s="154"/>
      <c r="BF46" s="154"/>
      <c r="BG46" s="154"/>
      <c r="BH46" s="154"/>
      <c r="BI46" s="154"/>
      <c r="BJ46" s="154"/>
      <c r="BK46" s="154"/>
      <c r="BL46" s="154"/>
      <c r="BM46" s="154"/>
      <c r="BN46"/>
      <c r="BO46" s="154"/>
      <c r="BP46" s="154"/>
      <c r="BQ46" s="154"/>
      <c r="BR46" s="154"/>
    </row>
    <row r="47" spans="1:70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 s="154"/>
      <c r="AV47" s="154"/>
      <c r="AW47" s="154"/>
      <c r="AX47" s="154"/>
      <c r="AY47" s="154"/>
      <c r="AZ47" s="154"/>
      <c r="BA47" s="154"/>
      <c r="BB47"/>
      <c r="BC47" s="154"/>
      <c r="BD47" s="154"/>
      <c r="BE47" s="154"/>
      <c r="BF47" s="154"/>
      <c r="BG47" s="154"/>
      <c r="BH47" s="154"/>
      <c r="BI47" s="154"/>
      <c r="BJ47" s="154"/>
      <c r="BK47" s="154"/>
      <c r="BL47" s="154"/>
      <c r="BM47" s="154"/>
      <c r="BN47"/>
      <c r="BO47" s="154"/>
      <c r="BP47" s="154"/>
      <c r="BQ47" s="154"/>
      <c r="BR47" s="154"/>
    </row>
    <row r="48" spans="1:70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 s="154"/>
      <c r="AV48" s="154"/>
      <c r="AW48" s="154"/>
      <c r="AX48" s="154"/>
      <c r="AY48" s="154"/>
      <c r="AZ48" s="154"/>
      <c r="BA48" s="154"/>
      <c r="BB48"/>
      <c r="BC48" s="154"/>
      <c r="BD48" s="154"/>
      <c r="BE48" s="154"/>
      <c r="BF48" s="154"/>
      <c r="BG48" s="154"/>
      <c r="BH48" s="154"/>
      <c r="BI48" s="154"/>
      <c r="BJ48" s="154"/>
      <c r="BK48" s="154"/>
      <c r="BL48" s="154"/>
      <c r="BM48" s="154"/>
      <c r="BN48"/>
      <c r="BO48" s="154"/>
      <c r="BP48" s="154"/>
      <c r="BQ48" s="154"/>
      <c r="BR48" s="154"/>
    </row>
    <row r="49" spans="1:70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 s="154"/>
      <c r="AV49" s="154"/>
      <c r="AW49" s="154"/>
      <c r="AX49" s="154"/>
      <c r="AY49" s="154"/>
      <c r="AZ49" s="154"/>
      <c r="BA49" s="154"/>
      <c r="BB49"/>
      <c r="BC49" s="154"/>
      <c r="BD49" s="154"/>
      <c r="BE49" s="154"/>
      <c r="BF49" s="154"/>
      <c r="BG49" s="154"/>
      <c r="BH49" s="154"/>
      <c r="BI49" s="154"/>
      <c r="BJ49" s="154"/>
      <c r="BK49" s="154"/>
      <c r="BL49" s="154"/>
      <c r="BM49" s="154"/>
      <c r="BN49"/>
      <c r="BO49" s="154"/>
      <c r="BP49" s="154"/>
      <c r="BQ49" s="154"/>
      <c r="BR49" s="154"/>
    </row>
    <row r="50" spans="1:70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 s="154"/>
      <c r="AV50" s="154"/>
      <c r="AW50" s="154"/>
      <c r="AX50" s="154"/>
      <c r="AY50" s="154"/>
      <c r="AZ50" s="154"/>
      <c r="BA50" s="154"/>
      <c r="BB50"/>
      <c r="BC50" s="154"/>
      <c r="BD50" s="154"/>
      <c r="BE50" s="154"/>
      <c r="BF50" s="154"/>
      <c r="BG50" s="154"/>
      <c r="BH50" s="154"/>
      <c r="BI50" s="154"/>
      <c r="BJ50" s="154"/>
      <c r="BK50" s="154"/>
      <c r="BL50" s="154"/>
      <c r="BM50" s="154"/>
      <c r="BN50"/>
      <c r="BO50" s="154"/>
      <c r="BP50" s="154"/>
      <c r="BQ50" s="154"/>
      <c r="BR50" s="154"/>
    </row>
    <row r="51" spans="1:70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1:70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1:70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1:70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1:70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1:70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1:70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1:70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1:70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1:70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</row>
    <row r="61" spans="1:70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</row>
  </sheetData>
  <mergeCells count="9">
    <mergeCell ref="V5:AS5"/>
    <mergeCell ref="P5:T5"/>
    <mergeCell ref="J6:K10"/>
    <mergeCell ref="N6:N10"/>
    <mergeCell ref="B5:C5"/>
    <mergeCell ref="B6:C10"/>
    <mergeCell ref="F5:G5"/>
    <mergeCell ref="F6:G10"/>
    <mergeCell ref="J5:K5"/>
  </mergeCells>
  <conditionalFormatting sqref="P6:AT15">
    <cfRule type="containsText" dxfId="7094" priority="1" operator="containsText" text="VA">
      <formula>NOT(ISERROR(SEARCH("VA",P6)))</formula>
    </cfRule>
    <cfRule type="containsText" dxfId="7093" priority="2" operator="containsText" text="DO">
      <formula>NOT(ISERROR(SEARCH("DO",P6)))</formula>
    </cfRule>
  </conditionalFormatting>
  <pageMargins left="0.511811023622047" right="0.511811023622047" top="0.78740157480314998" bottom="0.78740157480314998" header="0.31496062992126" footer="0.31496062992126"/>
  <pageSetup paperSize="5" scale="60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7AF174-C7FF-4A29-921A-6DE7D62EE0BD}">
          <x14:formula1>
            <xm:f>Configuração!$AL$8:$AL$17</xm:f>
          </x14:formula1>
          <xm:sqref>P5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Escala</vt:lpstr>
      <vt:lpstr>EscalaLinear</vt:lpstr>
      <vt:lpstr>Configuração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 Guilherme da Costa Olegário</dc:creator>
  <cp:lastModifiedBy>Luciano Guilherme da Costa Olegário</cp:lastModifiedBy>
  <cp:lastPrinted>2024-05-17T06:01:06Z</cp:lastPrinted>
  <dcterms:created xsi:type="dcterms:W3CDTF">2024-04-09T06:23:04Z</dcterms:created>
  <dcterms:modified xsi:type="dcterms:W3CDTF">2024-05-17T07:56:52Z</dcterms:modified>
</cp:coreProperties>
</file>