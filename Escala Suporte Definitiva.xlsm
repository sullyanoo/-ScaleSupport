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olegario\Downloads\"/>
    </mc:Choice>
  </mc:AlternateContent>
  <xr:revisionPtr revIDLastSave="0" documentId="13_ncr:1_{C1EA4DB3-BF9B-41D1-9F0E-DAEDFAA768B8}" xr6:coauthVersionLast="47" xr6:coauthVersionMax="47" xr10:uidLastSave="{00000000-0000-0000-0000-000000000000}"/>
  <bookViews>
    <workbookView minimized="1" xWindow="2340" yWindow="2340" windowWidth="21600" windowHeight="11295" tabRatio="808" activeTab="14" xr2:uid="{14D2BA9B-8FF6-4D46-BF8E-DDA00040DED6}"/>
  </bookViews>
  <sheets>
    <sheet name="Escala" sheetId="5" r:id="rId1"/>
    <sheet name="Configuração" sheetId="2" r:id="rId2"/>
    <sheet name="Dashboard" sheetId="3" r:id="rId3"/>
    <sheet name="Ajuda" sheetId="199" r:id="rId4"/>
    <sheet name="Janeiro" sheetId="260" r:id="rId5"/>
    <sheet name="Fevereiro" sheetId="261" r:id="rId6"/>
    <sheet name="Março" sheetId="262" r:id="rId7"/>
    <sheet name="Abril" sheetId="263" r:id="rId8"/>
    <sheet name="Maio" sheetId="264" r:id="rId9"/>
    <sheet name="Junho" sheetId="265" r:id="rId10"/>
    <sheet name="Julho" sheetId="266" r:id="rId11"/>
    <sheet name="Agosto" sheetId="267" r:id="rId12"/>
    <sheet name="Setembro" sheetId="268" r:id="rId13"/>
    <sheet name="Outubro" sheetId="269" r:id="rId14"/>
    <sheet name="Novembro" sheetId="270" r:id="rId15"/>
    <sheet name="Dezembro" sheetId="271" r:id="rId16"/>
  </sheets>
  <functionGroups builtInGroupCount="19"/>
  <externalReferences>
    <externalReference r:id="rId17"/>
  </externalReferences>
  <definedNames>
    <definedName name="_xlnm._FilterDatabase" localSheetId="1" hidden="1">Configuração!$B$23:$AC$24</definedName>
    <definedName name="_xlnm._FilterDatabase" localSheetId="2" hidden="1">Dashboard!$Q$20:$AV$30</definedName>
    <definedName name="_lTurnos">[1]!tTurnos[Turnos]</definedName>
    <definedName name="lTurno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3" l="1"/>
  <c r="D22" i="271"/>
  <c r="D23" i="271" s="1"/>
  <c r="Z19" i="271"/>
  <c r="V19" i="271"/>
  <c r="U19" i="271"/>
  <c r="P19" i="271"/>
  <c r="M19" i="271"/>
  <c r="H19" i="271"/>
  <c r="C19" i="271"/>
  <c r="B19" i="271"/>
  <c r="C8" i="271"/>
  <c r="D8" i="271" s="1"/>
  <c r="B8" i="271"/>
  <c r="B7" i="271"/>
  <c r="D22" i="270"/>
  <c r="D23" i="270" s="1"/>
  <c r="Z19" i="270"/>
  <c r="V19" i="270"/>
  <c r="U19" i="270"/>
  <c r="P19" i="270"/>
  <c r="M19" i="270"/>
  <c r="H19" i="270"/>
  <c r="C19" i="270"/>
  <c r="B19" i="270"/>
  <c r="B8" i="270"/>
  <c r="C8" i="270" s="1"/>
  <c r="C7" i="270" s="1"/>
  <c r="B7" i="270"/>
  <c r="D22" i="269"/>
  <c r="D23" i="269" s="1"/>
  <c r="Z19" i="269"/>
  <c r="V19" i="269"/>
  <c r="U19" i="269"/>
  <c r="P19" i="269"/>
  <c r="M19" i="269"/>
  <c r="H19" i="269"/>
  <c r="C19" i="269"/>
  <c r="B19" i="269"/>
  <c r="B8" i="269"/>
  <c r="C8" i="269" s="1"/>
  <c r="C7" i="269" s="1"/>
  <c r="D22" i="268"/>
  <c r="D23" i="268" s="1"/>
  <c r="Z19" i="268"/>
  <c r="V19" i="268"/>
  <c r="U19" i="268"/>
  <c r="P19" i="268"/>
  <c r="M19" i="268"/>
  <c r="H19" i="268"/>
  <c r="C19" i="268"/>
  <c r="B19" i="268"/>
  <c r="B8" i="268"/>
  <c r="C8" i="268" s="1"/>
  <c r="D8" i="268" s="1"/>
  <c r="B7" i="268"/>
  <c r="D22" i="267"/>
  <c r="D23" i="267" s="1"/>
  <c r="Z19" i="267"/>
  <c r="V19" i="267"/>
  <c r="U19" i="267"/>
  <c r="P19" i="267"/>
  <c r="M19" i="267"/>
  <c r="H19" i="267"/>
  <c r="C19" i="267"/>
  <c r="B19" i="267"/>
  <c r="B8" i="267"/>
  <c r="C8" i="267" s="1"/>
  <c r="D8" i="267" s="1"/>
  <c r="B7" i="267"/>
  <c r="D22" i="266"/>
  <c r="D23" i="266" s="1"/>
  <c r="Z19" i="266"/>
  <c r="V19" i="266"/>
  <c r="U19" i="266"/>
  <c r="P19" i="266"/>
  <c r="M19" i="266"/>
  <c r="H19" i="266"/>
  <c r="C19" i="266"/>
  <c r="B19" i="266"/>
  <c r="B8" i="266"/>
  <c r="C8" i="266" s="1"/>
  <c r="C7" i="266" s="1"/>
  <c r="B7" i="266"/>
  <c r="D22" i="265"/>
  <c r="D23" i="265" s="1"/>
  <c r="Z19" i="265"/>
  <c r="V19" i="265"/>
  <c r="U19" i="265"/>
  <c r="P19" i="265"/>
  <c r="M19" i="265"/>
  <c r="H19" i="265"/>
  <c r="C19" i="265"/>
  <c r="B19" i="265"/>
  <c r="B8" i="265"/>
  <c r="C8" i="265" s="1"/>
  <c r="C7" i="265" s="1"/>
  <c r="B7" i="265"/>
  <c r="D22" i="264"/>
  <c r="D23" i="264" s="1"/>
  <c r="Z19" i="264"/>
  <c r="V19" i="264"/>
  <c r="U19" i="264"/>
  <c r="P19" i="264"/>
  <c r="M19" i="264"/>
  <c r="H19" i="264"/>
  <c r="C19" i="264"/>
  <c r="B19" i="264"/>
  <c r="B8" i="264"/>
  <c r="C8" i="264" s="1"/>
  <c r="C7" i="264" s="1"/>
  <c r="B7" i="264"/>
  <c r="D22" i="263"/>
  <c r="D23" i="263" s="1"/>
  <c r="Z19" i="263"/>
  <c r="V19" i="263"/>
  <c r="U19" i="263"/>
  <c r="P19" i="263"/>
  <c r="M19" i="263"/>
  <c r="H19" i="263"/>
  <c r="C19" i="263"/>
  <c r="B19" i="263"/>
  <c r="B8" i="263"/>
  <c r="C8" i="263" s="1"/>
  <c r="D8" i="263" s="1"/>
  <c r="B7" i="263"/>
  <c r="D22" i="262"/>
  <c r="D23" i="262" s="1"/>
  <c r="Z19" i="262"/>
  <c r="V19" i="262"/>
  <c r="U19" i="262"/>
  <c r="P19" i="262"/>
  <c r="M19" i="262"/>
  <c r="H19" i="262"/>
  <c r="C19" i="262"/>
  <c r="B19" i="262"/>
  <c r="B8" i="262"/>
  <c r="C8" i="262" s="1"/>
  <c r="C7" i="262" s="1"/>
  <c r="B7" i="262"/>
  <c r="D22" i="261"/>
  <c r="D23" i="261" s="1"/>
  <c r="Z19" i="261"/>
  <c r="V19" i="261"/>
  <c r="U19" i="261"/>
  <c r="P19" i="261"/>
  <c r="M19" i="261"/>
  <c r="H19" i="261"/>
  <c r="C19" i="261"/>
  <c r="B19" i="261"/>
  <c r="B8" i="261"/>
  <c r="C8" i="261" s="1"/>
  <c r="C7" i="261" s="1"/>
  <c r="B7" i="261"/>
  <c r="D22" i="260"/>
  <c r="D23" i="260" s="1"/>
  <c r="Z19" i="260"/>
  <c r="V19" i="260"/>
  <c r="U19" i="260"/>
  <c r="P19" i="260"/>
  <c r="M19" i="260"/>
  <c r="H19" i="260"/>
  <c r="C19" i="260"/>
  <c r="B19" i="260"/>
  <c r="B8" i="260"/>
  <c r="C8" i="260" s="1"/>
  <c r="C7" i="260" s="1"/>
  <c r="B7" i="260"/>
  <c r="D7" i="271" l="1"/>
  <c r="E8" i="271"/>
  <c r="C7" i="271"/>
  <c r="D8" i="270"/>
  <c r="B7" i="269"/>
  <c r="D8" i="269"/>
  <c r="E8" i="268"/>
  <c r="D7" i="268"/>
  <c r="C7" i="268"/>
  <c r="E8" i="267"/>
  <c r="D7" i="267"/>
  <c r="C7" i="267"/>
  <c r="D8" i="266"/>
  <c r="D8" i="265"/>
  <c r="D8" i="264"/>
  <c r="D7" i="263"/>
  <c r="E8" i="263"/>
  <c r="C7" i="263"/>
  <c r="D8" i="262"/>
  <c r="D8" i="261"/>
  <c r="D8" i="260"/>
  <c r="Z19" i="5"/>
  <c r="V19" i="5"/>
  <c r="U19" i="5"/>
  <c r="P19" i="5"/>
  <c r="M19" i="5"/>
  <c r="H19" i="5"/>
  <c r="C19" i="5"/>
  <c r="B19" i="5"/>
  <c r="B7" i="3"/>
  <c r="AY7" i="3" a="1"/>
  <c r="AY8" i="3" a="1"/>
  <c r="AY9" i="3" a="1"/>
  <c r="AY16" i="3" a="1"/>
  <c r="AY15" i="3" a="1"/>
  <c r="AY13" i="3" a="1"/>
  <c r="AZ17" i="3" a="1"/>
  <c r="AY12" i="3" a="1"/>
  <c r="AY14" i="3" a="1"/>
  <c r="AY11" i="3" a="1"/>
  <c r="AY10" i="3" a="1"/>
  <c r="E7" i="271" l="1"/>
  <c r="F8" i="271"/>
  <c r="D7" i="270"/>
  <c r="E8" i="270"/>
  <c r="D7" i="269"/>
  <c r="E8" i="269"/>
  <c r="E7" i="268"/>
  <c r="F8" i="268"/>
  <c r="E7" i="267"/>
  <c r="F8" i="267"/>
  <c r="E8" i="266"/>
  <c r="D7" i="266"/>
  <c r="D7" i="265"/>
  <c r="E8" i="265"/>
  <c r="D7" i="264"/>
  <c r="E8" i="264"/>
  <c r="E7" i="263"/>
  <c r="F8" i="263"/>
  <c r="D7" i="262"/>
  <c r="E8" i="262"/>
  <c r="D7" i="261"/>
  <c r="E8" i="261"/>
  <c r="D7" i="260"/>
  <c r="E8" i="260"/>
  <c r="AZ17" i="3"/>
  <c r="N7" i="3" s="1"/>
  <c r="AY16" i="3"/>
  <c r="AY15" i="3"/>
  <c r="AY14" i="3"/>
  <c r="AY13" i="3"/>
  <c r="AY12" i="3"/>
  <c r="AY11" i="3"/>
  <c r="AY10" i="3"/>
  <c r="AY9" i="3"/>
  <c r="AY8" i="3"/>
  <c r="AY7" i="3"/>
  <c r="M8" i="2" a="1"/>
  <c r="M15" i="2" a="1"/>
  <c r="M7" i="2" a="1"/>
  <c r="M13" i="2" a="1"/>
  <c r="M14" i="2" a="1"/>
  <c r="M16" i="2" a="1"/>
  <c r="M12" i="2" a="1"/>
  <c r="M10" i="2" a="1"/>
  <c r="M11" i="2" a="1"/>
  <c r="M9" i="2" a="1"/>
  <c r="G8" i="271" l="1"/>
  <c r="F7" i="271"/>
  <c r="E7" i="270"/>
  <c r="F8" i="270"/>
  <c r="E7" i="269"/>
  <c r="F8" i="269"/>
  <c r="F7" i="268"/>
  <c r="G8" i="268"/>
  <c r="G8" i="267"/>
  <c r="F7" i="267"/>
  <c r="E7" i="266"/>
  <c r="F8" i="266"/>
  <c r="E7" i="265"/>
  <c r="F8" i="265"/>
  <c r="E7" i="264"/>
  <c r="F8" i="264"/>
  <c r="G8" i="263"/>
  <c r="F7" i="263"/>
  <c r="E7" i="262"/>
  <c r="F8" i="262"/>
  <c r="E7" i="261"/>
  <c r="F8" i="261"/>
  <c r="E7" i="260"/>
  <c r="F8" i="260"/>
  <c r="F7" i="3"/>
  <c r="M7" i="2"/>
  <c r="M8" i="2"/>
  <c r="M9" i="2"/>
  <c r="M10" i="2"/>
  <c r="M11" i="2"/>
  <c r="M12" i="2"/>
  <c r="M13" i="2"/>
  <c r="M14" i="2"/>
  <c r="M15" i="2"/>
  <c r="M16" i="2"/>
  <c r="J7" i="3"/>
  <c r="G7" i="271" l="1"/>
  <c r="H8" i="271"/>
  <c r="F7" i="270"/>
  <c r="G8" i="270"/>
  <c r="F7" i="269"/>
  <c r="G8" i="269"/>
  <c r="H8" i="268"/>
  <c r="G7" i="268"/>
  <c r="G7" i="267"/>
  <c r="H8" i="267"/>
  <c r="F7" i="266"/>
  <c r="G8" i="266"/>
  <c r="F7" i="265"/>
  <c r="G8" i="265"/>
  <c r="G8" i="264"/>
  <c r="F7" i="264"/>
  <c r="G7" i="263"/>
  <c r="H8" i="263"/>
  <c r="F7" i="262"/>
  <c r="G8" i="262"/>
  <c r="F7" i="261"/>
  <c r="G8" i="261"/>
  <c r="F7" i="260"/>
  <c r="G8" i="260"/>
  <c r="AW7" i="3"/>
  <c r="B8" i="5"/>
  <c r="B7" i="5" s="1"/>
  <c r="D22" i="5"/>
  <c r="D23" i="5" s="1"/>
  <c r="AV16" i="3" a="1"/>
  <c r="AV9" i="3" a="1"/>
  <c r="AV12" i="3" a="1"/>
  <c r="AV10" i="3" a="1"/>
  <c r="AV15" i="3" a="1"/>
  <c r="AV14" i="3" a="1"/>
  <c r="AV11" i="3" a="1"/>
  <c r="AV13" i="3" a="1"/>
  <c r="AV8" i="3" a="1"/>
  <c r="AV7" i="3" a="1"/>
  <c r="H7" i="271" l="1"/>
  <c r="I8" i="271"/>
  <c r="G7" i="270"/>
  <c r="H8" i="270"/>
  <c r="H8" i="269"/>
  <c r="G7" i="269"/>
  <c r="I8" i="268"/>
  <c r="H7" i="268"/>
  <c r="I8" i="267"/>
  <c r="H7" i="267"/>
  <c r="G7" i="266"/>
  <c r="H8" i="266"/>
  <c r="G7" i="265"/>
  <c r="H8" i="265"/>
  <c r="H8" i="264"/>
  <c r="G7" i="264"/>
  <c r="H7" i="263"/>
  <c r="I8" i="263"/>
  <c r="G7" i="262"/>
  <c r="H8" i="262"/>
  <c r="G7" i="261"/>
  <c r="H8" i="261"/>
  <c r="G7" i="260"/>
  <c r="H8" i="260"/>
  <c r="C8" i="5"/>
  <c r="D8" i="5" s="1"/>
  <c r="E8" i="5" s="1"/>
  <c r="F8" i="5" s="1"/>
  <c r="G8" i="5" s="1"/>
  <c r="H8" i="5" s="1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T8" i="5" s="1"/>
  <c r="U8" i="5" s="1"/>
  <c r="V8" i="5" s="1"/>
  <c r="W8" i="5" s="1"/>
  <c r="X8" i="5" s="1"/>
  <c r="Y8" i="5" s="1"/>
  <c r="Z8" i="5" s="1"/>
  <c r="AW13" i="3"/>
  <c r="AW9" i="3"/>
  <c r="AW12" i="3"/>
  <c r="AW10" i="3"/>
  <c r="AW16" i="3"/>
  <c r="AW15" i="3"/>
  <c r="AW14" i="3"/>
  <c r="AW11" i="3"/>
  <c r="AW8" i="3"/>
  <c r="AV10" i="3"/>
  <c r="AV9" i="3"/>
  <c r="AV16" i="3"/>
  <c r="AV15" i="3"/>
  <c r="AV14" i="3"/>
  <c r="AV13" i="3"/>
  <c r="AV12" i="3"/>
  <c r="AV11" i="3"/>
  <c r="AV8" i="3"/>
  <c r="AV7" i="3"/>
  <c r="AX7" i="3" s="1"/>
  <c r="I7" i="271" l="1"/>
  <c r="J8" i="271"/>
  <c r="H7" i="270"/>
  <c r="I8" i="270"/>
  <c r="I8" i="269"/>
  <c r="H7" i="269"/>
  <c r="I7" i="268"/>
  <c r="J8" i="268"/>
  <c r="J8" i="267"/>
  <c r="I7" i="267"/>
  <c r="I8" i="266"/>
  <c r="H7" i="266"/>
  <c r="H7" i="265"/>
  <c r="I8" i="265"/>
  <c r="I8" i="264"/>
  <c r="H7" i="264"/>
  <c r="J8" i="263"/>
  <c r="I7" i="263"/>
  <c r="H7" i="262"/>
  <c r="I8" i="262"/>
  <c r="H7" i="261"/>
  <c r="I8" i="261"/>
  <c r="H7" i="260"/>
  <c r="I8" i="260"/>
  <c r="AA8" i="5"/>
  <c r="AB8" i="5" s="1"/>
  <c r="AC8" i="5" s="1"/>
  <c r="AD8" i="5" s="1"/>
  <c r="AE8" i="5" s="1"/>
  <c r="AF8" i="5" s="1"/>
  <c r="AX13" i="3"/>
  <c r="AX9" i="3"/>
  <c r="AX14" i="3"/>
  <c r="AX8" i="3"/>
  <c r="AX11" i="3"/>
  <c r="AX15" i="3"/>
  <c r="AX16" i="3"/>
  <c r="AX12" i="3"/>
  <c r="AX10" i="3"/>
  <c r="C7" i="5"/>
  <c r="J7" i="271" l="1"/>
  <c r="K8" i="271"/>
  <c r="I7" i="270"/>
  <c r="J8" i="270"/>
  <c r="I7" i="269"/>
  <c r="J8" i="269"/>
  <c r="J7" i="268"/>
  <c r="K8" i="268"/>
  <c r="K8" i="267"/>
  <c r="J7" i="267"/>
  <c r="J8" i="266"/>
  <c r="I7" i="266"/>
  <c r="I7" i="265"/>
  <c r="J8" i="265"/>
  <c r="I7" i="264"/>
  <c r="J8" i="264"/>
  <c r="J7" i="263"/>
  <c r="K8" i="263"/>
  <c r="I7" i="262"/>
  <c r="J8" i="262"/>
  <c r="I7" i="261"/>
  <c r="J8" i="261"/>
  <c r="I7" i="260"/>
  <c r="J8" i="260"/>
  <c r="D7" i="5"/>
  <c r="L8" i="271" l="1"/>
  <c r="K7" i="271"/>
  <c r="J7" i="270"/>
  <c r="K8" i="270"/>
  <c r="J7" i="269"/>
  <c r="K8" i="269"/>
  <c r="L8" i="268"/>
  <c r="K7" i="268"/>
  <c r="L8" i="267"/>
  <c r="K7" i="267"/>
  <c r="K8" i="266"/>
  <c r="J7" i="266"/>
  <c r="K8" i="265"/>
  <c r="J7" i="265"/>
  <c r="J7" i="264"/>
  <c r="K8" i="264"/>
  <c r="K7" i="263"/>
  <c r="L8" i="263"/>
  <c r="J7" i="262"/>
  <c r="K8" i="262"/>
  <c r="J7" i="261"/>
  <c r="K8" i="261"/>
  <c r="J7" i="260"/>
  <c r="K8" i="260"/>
  <c r="E7" i="5"/>
  <c r="M8" i="271" l="1"/>
  <c r="L7" i="271"/>
  <c r="K7" i="270"/>
  <c r="L8" i="270"/>
  <c r="K7" i="269"/>
  <c r="L8" i="269"/>
  <c r="L7" i="268"/>
  <c r="M8" i="268"/>
  <c r="L7" i="267"/>
  <c r="M8" i="267"/>
  <c r="K7" i="266"/>
  <c r="L8" i="266"/>
  <c r="L8" i="265"/>
  <c r="K7" i="265"/>
  <c r="K7" i="264"/>
  <c r="L8" i="264"/>
  <c r="L7" i="263"/>
  <c r="M8" i="263"/>
  <c r="K7" i="262"/>
  <c r="L8" i="262"/>
  <c r="K7" i="261"/>
  <c r="L8" i="261"/>
  <c r="K7" i="260"/>
  <c r="L8" i="260"/>
  <c r="F7" i="5"/>
  <c r="M7" i="271" l="1"/>
  <c r="N8" i="271"/>
  <c r="L7" i="270"/>
  <c r="M8" i="270"/>
  <c r="L7" i="269"/>
  <c r="M8" i="269"/>
  <c r="M7" i="268"/>
  <c r="N8" i="268"/>
  <c r="M7" i="267"/>
  <c r="N8" i="267"/>
  <c r="L7" i="266"/>
  <c r="M8" i="266"/>
  <c r="L7" i="265"/>
  <c r="M8" i="265"/>
  <c r="L7" i="264"/>
  <c r="M8" i="264"/>
  <c r="M7" i="263"/>
  <c r="N8" i="263"/>
  <c r="L7" i="262"/>
  <c r="M8" i="262"/>
  <c r="L7" i="261"/>
  <c r="M8" i="261"/>
  <c r="L7" i="260"/>
  <c r="M8" i="260"/>
  <c r="G7" i="5"/>
  <c r="O8" i="271" l="1"/>
  <c r="N7" i="271"/>
  <c r="M7" i="270"/>
  <c r="N8" i="270"/>
  <c r="M7" i="269"/>
  <c r="N8" i="269"/>
  <c r="O8" i="268"/>
  <c r="N7" i="268"/>
  <c r="O8" i="267"/>
  <c r="N7" i="267"/>
  <c r="M7" i="266"/>
  <c r="N8" i="266"/>
  <c r="M7" i="265"/>
  <c r="N8" i="265"/>
  <c r="M7" i="264"/>
  <c r="N8" i="264"/>
  <c r="N7" i="263"/>
  <c r="O8" i="263"/>
  <c r="M7" i="262"/>
  <c r="N8" i="262"/>
  <c r="M7" i="261"/>
  <c r="N8" i="261"/>
  <c r="M7" i="260"/>
  <c r="N8" i="260"/>
  <c r="H7" i="5"/>
  <c r="P8" i="271" l="1"/>
  <c r="O7" i="271"/>
  <c r="N7" i="270"/>
  <c r="O8" i="270"/>
  <c r="O8" i="269"/>
  <c r="N7" i="269"/>
  <c r="O7" i="268"/>
  <c r="P8" i="268"/>
  <c r="O7" i="267"/>
  <c r="P8" i="267"/>
  <c r="O8" i="266"/>
  <c r="N7" i="266"/>
  <c r="O8" i="265"/>
  <c r="N7" i="265"/>
  <c r="O8" i="264"/>
  <c r="N7" i="264"/>
  <c r="P8" i="263"/>
  <c r="O7" i="263"/>
  <c r="O8" i="262"/>
  <c r="N7" i="262"/>
  <c r="O8" i="261"/>
  <c r="N7" i="261"/>
  <c r="O8" i="260"/>
  <c r="N7" i="260"/>
  <c r="I7" i="5"/>
  <c r="P7" i="271" l="1"/>
  <c r="Q8" i="271"/>
  <c r="O7" i="270"/>
  <c r="P8" i="270"/>
  <c r="O7" i="269"/>
  <c r="P8" i="269"/>
  <c r="Q8" i="268"/>
  <c r="P7" i="268"/>
  <c r="Q8" i="267"/>
  <c r="P7" i="267"/>
  <c r="P8" i="266"/>
  <c r="O7" i="266"/>
  <c r="P8" i="265"/>
  <c r="O7" i="265"/>
  <c r="P8" i="264"/>
  <c r="O7" i="264"/>
  <c r="Q8" i="263"/>
  <c r="P7" i="263"/>
  <c r="P8" i="262"/>
  <c r="O7" i="262"/>
  <c r="P8" i="261"/>
  <c r="O7" i="261"/>
  <c r="P8" i="260"/>
  <c r="O7" i="260"/>
  <c r="J7" i="5"/>
  <c r="R8" i="271" l="1"/>
  <c r="Q7" i="271"/>
  <c r="Q8" i="270"/>
  <c r="P7" i="270"/>
  <c r="Q8" i="269"/>
  <c r="P7" i="269"/>
  <c r="R8" i="268"/>
  <c r="Q7" i="268"/>
  <c r="Q7" i="267"/>
  <c r="R8" i="267"/>
  <c r="P7" i="266"/>
  <c r="Q8" i="266"/>
  <c r="Q8" i="265"/>
  <c r="P7" i="265"/>
  <c r="P7" i="264"/>
  <c r="Q8" i="264"/>
  <c r="Q7" i="263"/>
  <c r="R8" i="263"/>
  <c r="Q8" i="262"/>
  <c r="P7" i="262"/>
  <c r="Q8" i="261"/>
  <c r="P7" i="261"/>
  <c r="Q8" i="260"/>
  <c r="P7" i="260"/>
  <c r="K7" i="5"/>
  <c r="S8" i="271" l="1"/>
  <c r="R7" i="271"/>
  <c r="R8" i="270"/>
  <c r="Q7" i="270"/>
  <c r="R8" i="269"/>
  <c r="Q7" i="269"/>
  <c r="S8" i="268"/>
  <c r="R7" i="268"/>
  <c r="S8" i="267"/>
  <c r="R7" i="267"/>
  <c r="Q7" i="266"/>
  <c r="R8" i="266"/>
  <c r="R8" i="265"/>
  <c r="Q7" i="265"/>
  <c r="R8" i="264"/>
  <c r="Q7" i="264"/>
  <c r="R7" i="263"/>
  <c r="S8" i="263"/>
  <c r="R8" i="262"/>
  <c r="Q7" i="262"/>
  <c r="R8" i="261"/>
  <c r="Q7" i="261"/>
  <c r="R8" i="260"/>
  <c r="Q7" i="260"/>
  <c r="L7" i="5"/>
  <c r="S7" i="271" l="1"/>
  <c r="T8" i="271"/>
  <c r="S8" i="270"/>
  <c r="R7" i="270"/>
  <c r="R7" i="269"/>
  <c r="S8" i="269"/>
  <c r="S7" i="268"/>
  <c r="T8" i="268"/>
  <c r="T8" i="267"/>
  <c r="S7" i="267"/>
  <c r="R7" i="266"/>
  <c r="S8" i="266"/>
  <c r="S8" i="265"/>
  <c r="R7" i="265"/>
  <c r="S8" i="264"/>
  <c r="R7" i="264"/>
  <c r="S7" i="263"/>
  <c r="T8" i="263"/>
  <c r="R7" i="262"/>
  <c r="S8" i="262"/>
  <c r="S8" i="261"/>
  <c r="R7" i="261"/>
  <c r="S8" i="260"/>
  <c r="R7" i="260"/>
  <c r="M7" i="5"/>
  <c r="T7" i="271" l="1"/>
  <c r="U8" i="271"/>
  <c r="T8" i="270"/>
  <c r="S7" i="270"/>
  <c r="T8" i="269"/>
  <c r="S7" i="269"/>
  <c r="U8" i="268"/>
  <c r="T7" i="268"/>
  <c r="U8" i="267"/>
  <c r="T7" i="267"/>
  <c r="T8" i="266"/>
  <c r="S7" i="266"/>
  <c r="T8" i="265"/>
  <c r="S7" i="265"/>
  <c r="T8" i="264"/>
  <c r="S7" i="264"/>
  <c r="U8" i="263"/>
  <c r="T7" i="263"/>
  <c r="T8" i="262"/>
  <c r="S7" i="262"/>
  <c r="T8" i="261"/>
  <c r="S7" i="261"/>
  <c r="T8" i="260"/>
  <c r="S7" i="260"/>
  <c r="N7" i="5"/>
  <c r="V8" i="271" l="1"/>
  <c r="U7" i="271"/>
  <c r="U8" i="270"/>
  <c r="T7" i="270"/>
  <c r="T7" i="269"/>
  <c r="U8" i="269"/>
  <c r="V8" i="268"/>
  <c r="U7" i="268"/>
  <c r="V8" i="267"/>
  <c r="U7" i="267"/>
  <c r="U8" i="266"/>
  <c r="T7" i="266"/>
  <c r="U8" i="265"/>
  <c r="T7" i="265"/>
  <c r="U8" i="264"/>
  <c r="T7" i="264"/>
  <c r="V8" i="263"/>
  <c r="U7" i="263"/>
  <c r="U8" i="262"/>
  <c r="T7" i="262"/>
  <c r="U8" i="261"/>
  <c r="T7" i="261"/>
  <c r="U8" i="260"/>
  <c r="T7" i="260"/>
  <c r="O7" i="5"/>
  <c r="V7" i="271" l="1"/>
  <c r="W8" i="271"/>
  <c r="V8" i="270"/>
  <c r="U7" i="270"/>
  <c r="V8" i="269"/>
  <c r="U7" i="269"/>
  <c r="W8" i="268"/>
  <c r="V7" i="268"/>
  <c r="W8" i="267"/>
  <c r="V7" i="267"/>
  <c r="V8" i="266"/>
  <c r="U7" i="266"/>
  <c r="V8" i="265"/>
  <c r="U7" i="265"/>
  <c r="V8" i="264"/>
  <c r="U7" i="264"/>
  <c r="V7" i="263"/>
  <c r="W8" i="263"/>
  <c r="V8" i="262"/>
  <c r="U7" i="262"/>
  <c r="V8" i="261"/>
  <c r="U7" i="261"/>
  <c r="V8" i="260"/>
  <c r="U7" i="260"/>
  <c r="P7" i="5"/>
  <c r="W7" i="271" l="1"/>
  <c r="X8" i="271"/>
  <c r="V7" i="270"/>
  <c r="W8" i="270"/>
  <c r="V7" i="269"/>
  <c r="W8" i="269"/>
  <c r="W7" i="268"/>
  <c r="X8" i="268"/>
  <c r="W7" i="267"/>
  <c r="X8" i="267"/>
  <c r="V7" i="266"/>
  <c r="W8" i="266"/>
  <c r="V7" i="265"/>
  <c r="W8" i="265"/>
  <c r="W8" i="264"/>
  <c r="V7" i="264"/>
  <c r="W7" i="263"/>
  <c r="X8" i="263"/>
  <c r="V7" i="262"/>
  <c r="W8" i="262"/>
  <c r="V7" i="261"/>
  <c r="W8" i="261"/>
  <c r="V7" i="260"/>
  <c r="W8" i="260"/>
  <c r="Q7" i="5"/>
  <c r="X7" i="271" l="1"/>
  <c r="Y8" i="271"/>
  <c r="X8" i="270"/>
  <c r="W7" i="270"/>
  <c r="W7" i="269"/>
  <c r="X8" i="269"/>
  <c r="Y8" i="268"/>
  <c r="X7" i="268"/>
  <c r="X7" i="267"/>
  <c r="Y8" i="267"/>
  <c r="X8" i="266"/>
  <c r="W7" i="266"/>
  <c r="W7" i="265"/>
  <c r="X8" i="265"/>
  <c r="W7" i="264"/>
  <c r="X8" i="264"/>
  <c r="X7" i="263"/>
  <c r="Y8" i="263"/>
  <c r="W7" i="262"/>
  <c r="X8" i="262"/>
  <c r="W7" i="261"/>
  <c r="X8" i="261"/>
  <c r="W7" i="260"/>
  <c r="X8" i="260"/>
  <c r="R7" i="5"/>
  <c r="Y7" i="271" l="1"/>
  <c r="Z8" i="271"/>
  <c r="Y8" i="270"/>
  <c r="X7" i="270"/>
  <c r="X7" i="269"/>
  <c r="Y8" i="269"/>
  <c r="Y7" i="268"/>
  <c r="Z8" i="268"/>
  <c r="Z8" i="267"/>
  <c r="Y7" i="267"/>
  <c r="X7" i="266"/>
  <c r="Y8" i="266"/>
  <c r="X7" i="265"/>
  <c r="Y8" i="265"/>
  <c r="Y8" i="264"/>
  <c r="X7" i="264"/>
  <c r="Z8" i="263"/>
  <c r="Y7" i="263"/>
  <c r="X7" i="262"/>
  <c r="Y8" i="262"/>
  <c r="X7" i="261"/>
  <c r="Y8" i="261"/>
  <c r="X7" i="260"/>
  <c r="Y8" i="260"/>
  <c r="S7" i="5"/>
  <c r="Z7" i="271" l="1"/>
  <c r="AA8" i="271"/>
  <c r="Z8" i="270"/>
  <c r="Y7" i="270"/>
  <c r="Z8" i="269"/>
  <c r="Y7" i="269"/>
  <c r="AA8" i="268"/>
  <c r="Z7" i="268"/>
  <c r="Z7" i="267"/>
  <c r="AA8" i="267"/>
  <c r="Y7" i="266"/>
  <c r="Z8" i="266"/>
  <c r="Y7" i="265"/>
  <c r="Z8" i="265"/>
  <c r="Z8" i="264"/>
  <c r="Y7" i="264"/>
  <c r="Z7" i="263"/>
  <c r="AA8" i="263"/>
  <c r="Y7" i="262"/>
  <c r="Z8" i="262"/>
  <c r="Y7" i="261"/>
  <c r="Z8" i="261"/>
  <c r="Y7" i="260"/>
  <c r="Z8" i="260"/>
  <c r="T7" i="5"/>
  <c r="AB8" i="271" l="1"/>
  <c r="AA7" i="271"/>
  <c r="AA8" i="270"/>
  <c r="Z7" i="270"/>
  <c r="Z7" i="269"/>
  <c r="AA8" i="269"/>
  <c r="AB8" i="268"/>
  <c r="AA7" i="268"/>
  <c r="AB8" i="267"/>
  <c r="AA7" i="267"/>
  <c r="AA8" i="266"/>
  <c r="Z7" i="266"/>
  <c r="Z7" i="265"/>
  <c r="AA8" i="265"/>
  <c r="Z7" i="264"/>
  <c r="AA8" i="264"/>
  <c r="AA7" i="263"/>
  <c r="AB8" i="263"/>
  <c r="Z7" i="262"/>
  <c r="AA8" i="262"/>
  <c r="Z7" i="261"/>
  <c r="AA8" i="261"/>
  <c r="Z7" i="260"/>
  <c r="AA8" i="260"/>
  <c r="U7" i="5"/>
  <c r="AC8" i="271" l="1"/>
  <c r="AB7" i="271"/>
  <c r="AB8" i="270"/>
  <c r="AA7" i="270"/>
  <c r="AB8" i="269"/>
  <c r="AA7" i="269"/>
  <c r="AC8" i="268"/>
  <c r="AB7" i="268"/>
  <c r="AB7" i="267"/>
  <c r="AC8" i="267"/>
  <c r="AA7" i="266"/>
  <c r="AB8" i="266"/>
  <c r="AA7" i="265"/>
  <c r="AB8" i="265"/>
  <c r="AA7" i="264"/>
  <c r="AB8" i="264"/>
  <c r="AB7" i="263"/>
  <c r="AC8" i="263"/>
  <c r="AA7" i="262"/>
  <c r="AB8" i="262"/>
  <c r="AA7" i="261"/>
  <c r="AB8" i="261"/>
  <c r="AA7" i="260"/>
  <c r="AB8" i="260"/>
  <c r="V7" i="5"/>
  <c r="AC7" i="271" l="1"/>
  <c r="AD8" i="271"/>
  <c r="AC8" i="270"/>
  <c r="AB7" i="270"/>
  <c r="AB7" i="269"/>
  <c r="AC8" i="269"/>
  <c r="AD8" i="268"/>
  <c r="AC7" i="268"/>
  <c r="AC7" i="267"/>
  <c r="AD8" i="267"/>
  <c r="AC8" i="266"/>
  <c r="AB7" i="266"/>
  <c r="AB7" i="265"/>
  <c r="AC8" i="265"/>
  <c r="AC8" i="264"/>
  <c r="AB7" i="264"/>
  <c r="AC7" i="263"/>
  <c r="AD8" i="263"/>
  <c r="AB7" i="262"/>
  <c r="AC8" i="262"/>
  <c r="AB7" i="261"/>
  <c r="AC8" i="261"/>
  <c r="AB7" i="260"/>
  <c r="AC8" i="260"/>
  <c r="W7" i="5"/>
  <c r="AD7" i="271" l="1"/>
  <c r="AE8" i="271"/>
  <c r="AD8" i="270"/>
  <c r="AC7" i="270"/>
  <c r="AC7" i="269"/>
  <c r="AD8" i="269"/>
  <c r="AD7" i="268"/>
  <c r="AE8" i="268"/>
  <c r="AE8" i="267"/>
  <c r="AD7" i="267"/>
  <c r="AC7" i="266"/>
  <c r="AD8" i="266"/>
  <c r="AC7" i="265"/>
  <c r="AD8" i="265"/>
  <c r="AC7" i="264"/>
  <c r="AD8" i="264"/>
  <c r="AD7" i="263"/>
  <c r="AE8" i="263"/>
  <c r="AC7" i="262"/>
  <c r="AD8" i="262"/>
  <c r="AC7" i="261"/>
  <c r="AD8" i="261"/>
  <c r="AC7" i="260"/>
  <c r="AD8" i="260"/>
  <c r="X7" i="5"/>
  <c r="AF8" i="271" l="1"/>
  <c r="AF7" i="271" s="1"/>
  <c r="AE7" i="271"/>
  <c r="AE8" i="270"/>
  <c r="AD7" i="270"/>
  <c r="AD7" i="269"/>
  <c r="AE8" i="269"/>
  <c r="AE7" i="268"/>
  <c r="AF8" i="268"/>
  <c r="AF7" i="268" s="1"/>
  <c r="AE7" i="267"/>
  <c r="AF8" i="267"/>
  <c r="AF7" i="267" s="1"/>
  <c r="AD7" i="266"/>
  <c r="AE8" i="266"/>
  <c r="AD7" i="265"/>
  <c r="AE8" i="265"/>
  <c r="AD7" i="264"/>
  <c r="AE8" i="264"/>
  <c r="AE7" i="263"/>
  <c r="AF8" i="263"/>
  <c r="AF7" i="263" s="1"/>
  <c r="AD7" i="262"/>
  <c r="AE8" i="262"/>
  <c r="AD7" i="261"/>
  <c r="AE8" i="261"/>
  <c r="AD7" i="260"/>
  <c r="AE8" i="260"/>
  <c r="Y7" i="5"/>
  <c r="AE7" i="270" l="1"/>
  <c r="AF8" i="270"/>
  <c r="AF7" i="270" s="1"/>
  <c r="AE7" i="269"/>
  <c r="AF8" i="269"/>
  <c r="AF7" i="269" s="1"/>
  <c r="AE7" i="266"/>
  <c r="AF8" i="266"/>
  <c r="AF7" i="266" s="1"/>
  <c r="AF8" i="265"/>
  <c r="AF7" i="265" s="1"/>
  <c r="AE7" i="265"/>
  <c r="AE7" i="264"/>
  <c r="AF8" i="264"/>
  <c r="AF7" i="264" s="1"/>
  <c r="AE7" i="262"/>
  <c r="AF8" i="262"/>
  <c r="AF7" i="262" s="1"/>
  <c r="AE7" i="261"/>
  <c r="AF8" i="261"/>
  <c r="AF7" i="261" s="1"/>
  <c r="AE7" i="260"/>
  <c r="AF8" i="260"/>
  <c r="AF7" i="260" s="1"/>
  <c r="Z7" i="5"/>
  <c r="AA7" i="5" l="1"/>
  <c r="AB7" i="5" l="1"/>
  <c r="AC7" i="5" l="1"/>
  <c r="AD7" i="5" l="1"/>
  <c r="AF7" i="5" l="1"/>
  <c r="AE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D2B5CCF6-475E-466D-893E-71AEC8574332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543D6F8C-2A00-406C-8AC5-7237B85AF61B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P7" authorId="0" shapeId="0" xr:uid="{24C0EFBD-CFE0-4CA2-A544-36340F311F53}">
      <text>
        <r>
          <rPr>
            <b/>
            <sz val="9"/>
            <color indexed="81"/>
            <rFont val="Segoe UI"/>
            <charset val="1"/>
          </rPr>
          <t>Remova o "@" da fórmula.
Obs: A referência só vai funcionar se tiver as planilhas dos meses.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65609F9D-2177-4221-9977-280801A5D8FE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E56FA019-E695-4078-9821-A786658174DA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4D8B3542-A6D3-4E41-8075-411D072CBB67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0DFE526F-2F11-4783-9A9A-517347569E5E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F4EFEC65-5464-4A46-ACAF-9BD15BB04F7D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FE6BE8C3-1820-4818-88EE-03076FF5EDD5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A59C7186-868F-4915-B840-45561EE66EB2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61361DF9-AECC-4603-9661-DC66C4CA71D0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D9B64F5C-342B-41D2-A32E-F7CE914E30E0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19E8424D-8314-4D40-A541-C7836A1CABC6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B22864FE-01C3-459A-975A-787366F08D17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F1C49F3F-31E4-4B1D-BAD3-363DB40AADB5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3D3E84E7-25C1-4413-8A64-EC403FBCEC6D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47E5AFDA-C442-4ACB-BEA1-E9757D16355A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285D32EE-B1C1-49A3-9E7C-3B9DF1BEA80B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4B135749-4198-4521-982B-1FC1CACE149F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254577CB-6B5C-4E25-A48F-13FF44F79F28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3B5D6521-03D5-4039-B0E7-C46BB74E0520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EC098231-44F2-4749-8366-E20A2F3267C6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7C44C3E6-ECDF-43A6-86DA-9AFEE8D908B3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3E2BAFAF-9E95-490C-AC61-47EF6127435F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D7680A3B-EE68-4163-8A1C-FF64FAF11BA8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Luciano Guilherme da Costa Olegário</author>
  </authors>
  <commentList>
    <comment ref="A6" authorId="0" shapeId="0" xr:uid="{1D9BF620-F512-43AF-BEA6-2DAEE4CBBCB9}">
      <text>
        <r>
          <rPr>
            <b/>
            <sz val="9"/>
            <color indexed="81"/>
            <rFont val="Segoe UI"/>
            <family val="2"/>
          </rPr>
          <t>Escala de Trabalho Principal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21" authorId="0" shapeId="0" xr:uid="{8E7988F0-5E33-40F0-9452-7DA37E117ADE}">
      <text>
        <r>
          <rPr>
            <sz val="9"/>
            <color indexed="81"/>
            <rFont val="Segoe UI"/>
            <family val="2"/>
          </rPr>
          <t xml:space="preserve">Selecione aqui a data desejada.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<sst xmlns="http://schemas.openxmlformats.org/spreadsheetml/2006/main" count="1299" uniqueCount="72">
  <si>
    <t>Configuração Escala</t>
  </si>
  <si>
    <t>Funcionários</t>
  </si>
  <si>
    <t>Caio</t>
  </si>
  <si>
    <t>T1</t>
  </si>
  <si>
    <t>Paulo</t>
  </si>
  <si>
    <t>Roberta</t>
  </si>
  <si>
    <t>Gustavo</t>
  </si>
  <si>
    <t>Luciano</t>
  </si>
  <si>
    <t>Renato</t>
  </si>
  <si>
    <t>Eduardo</t>
  </si>
  <si>
    <t>T2</t>
  </si>
  <si>
    <t>Danilo</t>
  </si>
  <si>
    <t>Henrique</t>
  </si>
  <si>
    <t>T3</t>
  </si>
  <si>
    <t>Rafael</t>
  </si>
  <si>
    <t>Feriados</t>
  </si>
  <si>
    <t>Data</t>
  </si>
  <si>
    <t>Férias</t>
  </si>
  <si>
    <t>VA</t>
  </si>
  <si>
    <t xml:space="preserve"> Matutino</t>
  </si>
  <si>
    <t>06:00/15:00</t>
  </si>
  <si>
    <t>Final de semana</t>
  </si>
  <si>
    <t>Fim Mês</t>
  </si>
  <si>
    <t>Folga</t>
  </si>
  <si>
    <t>DO</t>
  </si>
  <si>
    <t>08:30/17:30</t>
  </si>
  <si>
    <t>E1</t>
  </si>
  <si>
    <t>Matutino</t>
  </si>
  <si>
    <t>Último Dia</t>
  </si>
  <si>
    <t>Feriado</t>
  </si>
  <si>
    <t>FE</t>
  </si>
  <si>
    <t>10:00/19:00</t>
  </si>
  <si>
    <t>E2</t>
  </si>
  <si>
    <t>Vespertino</t>
  </si>
  <si>
    <t>13:00/22:00</t>
  </si>
  <si>
    <t>E3</t>
  </si>
  <si>
    <t>Noturno</t>
  </si>
  <si>
    <t>21:30/06:30</t>
  </si>
  <si>
    <t xml:space="preserve"> Noturno</t>
  </si>
  <si>
    <t>Relação Férias</t>
  </si>
  <si>
    <t>Data Inicial</t>
  </si>
  <si>
    <t>Data Final</t>
  </si>
  <si>
    <t>Lista Funcionários</t>
  </si>
  <si>
    <t>Horários</t>
  </si>
  <si>
    <t xml:space="preserve">Feriado </t>
  </si>
  <si>
    <t>08:00/17:00</t>
  </si>
  <si>
    <t>Lista Turnos</t>
  </si>
  <si>
    <t>Turno</t>
  </si>
  <si>
    <t>Mês</t>
  </si>
  <si>
    <t>Referência Escala</t>
  </si>
  <si>
    <t>Trabalhados</t>
  </si>
  <si>
    <t>Total Dias</t>
  </si>
  <si>
    <t>Folgas</t>
  </si>
  <si>
    <t>Funcionários de Férias</t>
  </si>
  <si>
    <t>Funcionários Férias</t>
  </si>
  <si>
    <t>Quantidade Turnos</t>
  </si>
  <si>
    <t xml:space="preserve">Feriados </t>
  </si>
  <si>
    <t>Dezembro</t>
  </si>
  <si>
    <t>Controladores</t>
  </si>
  <si>
    <t>Adiciona novo funcionário na lista de funcionários.</t>
  </si>
  <si>
    <t xml:space="preserve">Cria as demais escalas à partir da escala principal de gerenciamento. </t>
  </si>
  <si>
    <t>Exclui funcionário da lista de funcionários.</t>
  </si>
  <si>
    <t>Preenche automáticamente a escala com o turno informado e o nome do funcionário.</t>
  </si>
  <si>
    <t>Adiciona novo horário na lista.</t>
  </si>
  <si>
    <t>Trabalham da mesma maneira, utilizado para limpar a escala.</t>
  </si>
  <si>
    <t>Remove o horário da lista.</t>
  </si>
  <si>
    <t xml:space="preserve"> Direciona para a planilha dashboard.</t>
  </si>
  <si>
    <t>Define o período que o funcionário estará de férias.</t>
  </si>
  <si>
    <t xml:space="preserve"> Direciona para a planilha de configurações.</t>
  </si>
  <si>
    <t>Imprime a planilha.</t>
  </si>
  <si>
    <t>Deleta as planilhas adicionais geradas.</t>
  </si>
  <si>
    <t>Retorna para a planilha principal.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</si>
</sst>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d/m;@"/>
  </numFmts>
  <fonts count="15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  <scheme val="minor"/>
    </font>
    <font>
      <sz val="24"/>
      <color theme="0"/>
      <name val="Aptos Narrow"/>
      <family val="2"/>
      <scheme val="minor"/>
    </font>
    <font>
      <sz val="28"/>
      <color theme="0"/>
      <name val="Century Gothic"/>
      <family val="2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Century Gothic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Aptos Display"/>
      <family val="2"/>
      <scheme val="major"/>
    </font>
    <font>
      <b/>
      <sz val="12"/>
      <color theme="0"/>
      <name val="Aptos Narrow"/>
      <family val="2"/>
      <scheme val="minor"/>
    </font>
    <font>
      <b/>
      <sz val="9"/>
      <color indexed="81"/>
      <name val="Segoe UI"/>
      <charset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6666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71">
    <xf numFmtId="0" fontId="0" fillId="0" borderId="0" xfId="0"/>
    <xf numFmtId="0" fontId="0" fillId="2" borderId="0" xfId="0" applyFill="1"/>
    <xf numFmtId="0" fontId="0" fillId="2" borderId="10" xfId="0" applyFill="1" applyBorder="1"/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164" fontId="3" fillId="4" borderId="0" xfId="3" applyFont="1" applyFill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164" fontId="3" fillId="4" borderId="1" xfId="3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164" fontId="3" fillId="4" borderId="2" xfId="3" applyFont="1" applyFill="1" applyBorder="1" applyAlignment="1">
      <alignment horizontal="center" vertical="center"/>
    </xf>
    <xf numFmtId="164" fontId="3" fillId="4" borderId="10" xfId="3" applyFont="1" applyFill="1" applyBorder="1" applyAlignment="1">
      <alignment horizontal="center" vertical="center"/>
    </xf>
    <xf numFmtId="164" fontId="3" fillId="4" borderId="0" xfId="3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4" xfId="0" applyFill="1" applyBorder="1"/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9" xfId="0" applyBorder="1"/>
    <xf numFmtId="0" fontId="7" fillId="2" borderId="15" xfId="0" applyFont="1" applyFill="1" applyBorder="1"/>
    <xf numFmtId="0" fontId="0" fillId="0" borderId="15" xfId="0" applyBorder="1"/>
    <xf numFmtId="0" fontId="0" fillId="2" borderId="11" xfId="0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3" xfId="0" applyBorder="1"/>
    <xf numFmtId="0" fontId="0" fillId="6" borderId="3" xfId="0" applyFill="1" applyBorder="1"/>
    <xf numFmtId="0" fontId="0" fillId="6" borderId="15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7" fillId="2" borderId="20" xfId="0" applyFont="1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2" borderId="22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2" borderId="23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0" fillId="2" borderId="15" xfId="0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/>
    </xf>
    <xf numFmtId="165" fontId="12" fillId="2" borderId="27" xfId="1" applyNumberFormat="1" applyFont="1" applyFill="1" applyBorder="1" applyAlignment="1">
      <alignment horizontal="center" vertical="center"/>
    </xf>
    <xf numFmtId="165" fontId="7" fillId="0" borderId="25" xfId="0" applyNumberFormat="1" applyFont="1" applyBorder="1" applyAlignment="1">
      <alignment horizontal="center"/>
    </xf>
    <xf numFmtId="165" fontId="7" fillId="0" borderId="26" xfId="0" applyNumberFormat="1" applyFont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6" fillId="8" borderId="15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0" borderId="1" xfId="0" applyFont="1" applyBorder="1"/>
    <xf numFmtId="0" fontId="7" fillId="0" borderId="2" xfId="0" applyFont="1" applyBorder="1"/>
    <xf numFmtId="0" fontId="0" fillId="0" borderId="10" xfId="0" applyBorder="1"/>
    <xf numFmtId="0" fontId="7" fillId="2" borderId="8" xfId="0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6" borderId="13" xfId="0" applyFont="1" applyFill="1" applyBorder="1" applyAlignment="1">
      <alignment horizontal="center"/>
    </xf>
    <xf numFmtId="0" fontId="7" fillId="6" borderId="13" xfId="0" applyFont="1" applyFill="1" applyBorder="1" applyAlignment="1">
      <alignment horizontal="center" vertical="center"/>
    </xf>
    <xf numFmtId="0" fontId="7" fillId="0" borderId="12" xfId="0" applyFont="1" applyBorder="1"/>
    <xf numFmtId="0" fontId="0" fillId="0" borderId="12" xfId="0" applyBorder="1"/>
    <xf numFmtId="0" fontId="0" fillId="0" borderId="13" xfId="0" applyBorder="1"/>
    <xf numFmtId="0" fontId="7" fillId="0" borderId="15" xfId="0" applyFont="1" applyBorder="1"/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6" borderId="9" xfId="0" applyFill="1" applyBorder="1"/>
    <xf numFmtId="0" fontId="7" fillId="6" borderId="12" xfId="0" applyFont="1" applyFill="1" applyBorder="1" applyAlignment="1">
      <alignment horizontal="center" vertical="center"/>
    </xf>
    <xf numFmtId="0" fontId="0" fillId="6" borderId="12" xfId="0" applyFill="1" applyBorder="1"/>
    <xf numFmtId="0" fontId="7" fillId="6" borderId="15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0" fillId="2" borderId="14" xfId="0" applyFill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4" borderId="7" xfId="0" applyFont="1" applyFill="1" applyBorder="1" applyAlignment="1" applyProtection="1">
      <alignment horizontal="center" vertical="center"/>
      <protection locked="0"/>
    </xf>
    <xf numFmtId="0" fontId="6" fillId="4" borderId="8" xfId="0" applyFont="1" applyFill="1" applyBorder="1" applyAlignment="1" applyProtection="1">
      <alignment horizontal="center" vertical="center"/>
      <protection locked="0"/>
    </xf>
    <xf numFmtId="0" fontId="6" fillId="4" borderId="9" xfId="0" applyFon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9" fillId="5" borderId="7" xfId="1" applyFont="1" applyFill="1" applyBorder="1" applyAlignment="1">
      <alignment horizontal="center" vertical="center"/>
    </xf>
    <xf numFmtId="0" fontId="9" fillId="5" borderId="8" xfId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14" fontId="0" fillId="2" borderId="7" xfId="0" applyNumberFormat="1" applyFill="1" applyBorder="1" applyAlignment="1">
      <alignment horizontal="center"/>
    </xf>
    <xf numFmtId="14" fontId="0" fillId="2" borderId="8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6" fillId="4" borderId="4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6" fillId="8" borderId="10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6" fillId="4" borderId="3" xfId="0" applyFont="1" applyFill="1" applyBorder="1" applyAlignment="1" applyProtection="1">
      <alignment horizontal="center" vertical="center"/>
      <protection locked="0"/>
    </xf>
    <xf numFmtId="0" fontId="6" fillId="4" borderId="10" xfId="0" applyFont="1" applyFill="1" applyBorder="1" applyAlignment="1" applyProtection="1">
      <alignment horizontal="center" vertical="center"/>
      <protection locked="0"/>
    </xf>
    <xf numFmtId="0" fontId="6" fillId="4" borderId="11" xfId="0" applyFont="1" applyFill="1" applyBorder="1" applyAlignment="1" applyProtection="1">
      <alignment horizontal="center" vertical="center"/>
      <protection locked="0"/>
    </xf>
    <xf numFmtId="0" fontId="6" fillId="4" borderId="4" xfId="0" applyFont="1" applyFill="1" applyBorder="1" applyAlignment="1" applyProtection="1">
      <alignment horizontal="center" vertical="center"/>
      <protection locked="0"/>
    </xf>
    <xf numFmtId="0" fontId="6" fillId="4" borderId="6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3" fillId="4" borderId="7" xfId="0" applyFont="1" applyFill="1" applyBorder="1" applyAlignment="1">
      <alignment horizontal="center" vertical="center"/>
    </xf>
    <xf numFmtId="0" fontId="13" fillId="4" borderId="8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4" fontId="0" fillId="2" borderId="33" xfId="0" applyNumberFormat="1" applyFill="1" applyBorder="1" applyAlignment="1">
      <alignment horizontal="center"/>
    </xf>
    <xf numFmtId="14" fontId="0" fillId="2" borderId="30" xfId="0" applyNumberFormat="1" applyFill="1" applyBorder="1" applyAlignment="1">
      <alignment horizontal="center"/>
    </xf>
    <xf numFmtId="14" fontId="0" fillId="2" borderId="32" xfId="0" applyNumberForma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4" fontId="0" fillId="2" borderId="34" xfId="0" applyNumberFormat="1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14" fontId="0" fillId="2" borderId="31" xfId="0" applyNumberFormat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14" fontId="0" fillId="2" borderId="29" xfId="0" applyNumberFormat="1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14" fontId="0" fillId="2" borderId="35" xfId="0" applyNumberFormat="1" applyFill="1" applyBorder="1" applyAlignment="1">
      <alignment horizontal="center"/>
    </xf>
    <xf numFmtId="14" fontId="0" fillId="2" borderId="28" xfId="0" applyNumberFormat="1" applyFill="1" applyBorder="1" applyAlignment="1">
      <alignment horizontal="center"/>
    </xf>
    <xf numFmtId="14" fontId="0" fillId="2" borderId="36" xfId="0" applyNumberForma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</cellXfs>
  <cellStyles count="5">
    <cellStyle name="Moeda" xfId="3" builtinId="4"/>
    <cellStyle name="Moeda 2" xfId="4" xr:uid="{2DD5B8DE-B676-4EF8-8C46-D3F497757F8D}"/>
    <cellStyle name="Normal" xfId="0" builtinId="0"/>
    <cellStyle name="Normal 2" xfId="2" xr:uid="{26F07A6D-0713-460A-B5EE-7689C3C12612}"/>
    <cellStyle name="Normal 3" xfId="1" xr:uid="{64F7AC15-0E8B-48A2-AE83-C2F9A177BDFB}"/>
  </cellStyles>
  <dxfs count="748"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theme="8" tint="0.39994506668294322"/>
        </patternFill>
      </fill>
    </dxf>
    <dxf>
      <font>
        <b/>
        <i val="0"/>
        <color theme="0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9966FF"/>
        </patternFill>
      </fill>
    </dxf>
    <dxf>
      <font>
        <b/>
        <i val="0"/>
        <color theme="0"/>
      </font>
      <fill>
        <patternFill>
          <bgColor theme="3" tint="0.749961851863155"/>
        </patternFill>
      </fill>
    </dxf>
    <dxf>
      <font>
        <b/>
        <i val="0"/>
        <color theme="0"/>
      </font>
      <fill>
        <patternFill>
          <bgColor theme="3" tint="0.24994659260841701"/>
        </patternFill>
      </fill>
    </dxf>
    <dxf>
      <font>
        <b/>
        <i val="0"/>
        <color theme="0"/>
      </font>
      <fill>
        <patternFill>
          <bgColor theme="3" tint="9.9948118533890809E-2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31EAE"/>
      <color rgb="FFC09200"/>
      <color rgb="FF9966FF"/>
      <color rgb="FFFF47B0"/>
      <color rgb="FFF94D7E"/>
      <color rgb="FFFF66CC"/>
      <color rgb="FF6666FF"/>
      <color rgb="FF9A2D22"/>
      <color rgb="FFFFCC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Dashboard Escala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6912900321186172E-2"/>
          <c:y val="0.1140903209584226"/>
          <c:w val="0.84724731934105513"/>
          <c:h val="0.64774820350450912"/>
        </c:manualLayout>
      </c:layout>
      <c:barChart>
        <c:barDir val="col"/>
        <c:grouping val="clustered"/>
        <c:varyColors val="0"/>
        <c:ser>
          <c:idx val="0"/>
          <c:order val="0"/>
          <c:tx>
            <c:v>Funcionários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numRef>
              <c:f>Dashboard!$F$7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Dashboard!$B$7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2-4C34-BA9F-989592DCF185}"/>
            </c:ext>
          </c:extLst>
        </c:ser>
        <c:ser>
          <c:idx val="1"/>
          <c:order val="1"/>
          <c:tx>
            <c:v>Férias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numRef>
              <c:f>Dashboard!$F$7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Dashboard!$F$7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12-4C34-BA9F-989592DCF185}"/>
            </c:ext>
          </c:extLst>
        </c:ser>
        <c:ser>
          <c:idx val="2"/>
          <c:order val="2"/>
          <c:tx>
            <c:v>Turnos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val>
            <c:numRef>
              <c:f>Dashboard!$J$7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12-4C34-BA9F-989592DCF185}"/>
            </c:ext>
          </c:extLst>
        </c:ser>
        <c:ser>
          <c:idx val="3"/>
          <c:order val="3"/>
          <c:tx>
            <c:v>Feriados</c:v>
          </c:tx>
          <c:spPr>
            <a:solidFill>
              <a:srgbClr val="631EAE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Dashboard!$N$7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A3-4558-AE77-178C9F7AAF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52412016"/>
        <c:axId val="34721968"/>
      </c:barChart>
      <c:catAx>
        <c:axId val="155241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21968"/>
        <c:crosses val="autoZero"/>
        <c:auto val="1"/>
        <c:lblAlgn val="ctr"/>
        <c:lblOffset val="100"/>
        <c:noMultiLvlLbl val="0"/>
      </c:catAx>
      <c:valAx>
        <c:axId val="347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241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" t="0.78740157499999996" header="0.31496062000000002" footer="0.31496062000000002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63133172425863"/>
          <c:y val="3.05679470404300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4975445129048401"/>
          <c:y val="8.3274896407267429E-2"/>
          <c:w val="0.47288203096500753"/>
          <c:h val="0.79239051045034381"/>
        </c:manualLayout>
      </c:layout>
      <c:pieChart>
        <c:varyColors val="1"/>
        <c:ser>
          <c:idx val="0"/>
          <c:order val="0"/>
          <c:tx>
            <c:v>Dashboard Escala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60A7-48FA-AC57-855C7FB8B6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F6-418A-8451-6660D24A94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8F6-418A-8451-6660D24A944B}"/>
              </c:ext>
            </c:extLst>
          </c:dPt>
          <c:dPt>
            <c:idx val="3"/>
            <c:bubble3D val="0"/>
            <c:spPr>
              <a:solidFill>
                <a:srgbClr val="631EAE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8F6-418A-8451-6660D24A94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(Dashboard!$B$6,Dashboard!$F$6,Dashboard!$J$6,Dashboard!$N$6)</c:f>
              <c:strCache>
                <c:ptCount val="4"/>
                <c:pt idx="0">
                  <c:v>Funcionários</c:v>
                </c:pt>
                <c:pt idx="1">
                  <c:v>Funcionários Férias</c:v>
                </c:pt>
                <c:pt idx="2">
                  <c:v>Quantidade Turnos</c:v>
                </c:pt>
                <c:pt idx="3">
                  <c:v>Feriados </c:v>
                </c:pt>
              </c:strCache>
            </c:strRef>
          </c:cat>
          <c:val>
            <c:numRef>
              <c:f>(Dashboard!$B$7,Dashboard!$F$7,Dashboard!$J$7,Dashboard!$N$7)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60A7-48FA-AC57-855C7FB8B6B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171450</xdr:rowOff>
    </xdr:from>
    <xdr:ext cx="3886200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2132B3-B47B-3118-AD3C-C83167528C2A}"/>
            </a:ext>
          </a:extLst>
        </xdr:cNvPr>
        <xdr:cNvSpPr txBox="1"/>
      </xdr:nvSpPr>
      <xdr:spPr>
        <a:xfrm>
          <a:off x="171450" y="171450"/>
          <a:ext cx="3886200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</xdr:txBody>
    </xdr:sp>
    <xdr:clientData/>
  </xdr:oneCellAnchor>
  <xdr:twoCellAnchor editAs="oneCell">
    <xdr:from>
      <xdr:col>26</xdr:col>
      <xdr:colOff>269080</xdr:colOff>
      <xdr:row>0</xdr:row>
      <xdr:rowOff>404814</xdr:rowOff>
    </xdr:from>
    <xdr:to>
      <xdr:col>33</xdr:col>
      <xdr:colOff>25901</xdr:colOff>
      <xdr:row>1</xdr:row>
      <xdr:rowOff>426776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69C969-4B0E-4394-B164-DA7E197E0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3830" y="404814"/>
          <a:ext cx="2810378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71437</xdr:colOff>
      <xdr:row>1</xdr:row>
      <xdr:rowOff>492919</xdr:rowOff>
    </xdr:from>
    <xdr:to>
      <xdr:col>1</xdr:col>
      <xdr:colOff>500061</xdr:colOff>
      <xdr:row>1</xdr:row>
      <xdr:rowOff>897731</xdr:rowOff>
    </xdr:to>
    <xdr:sp macro="[0]!Módulo12.AdicionarTurno" textlink="">
      <xdr:nvSpPr>
        <xdr:cNvPr id="12" name="Retângulo: Cantos Arredondados 11" descr="Botão que adiciona um novo turno.">
          <a:extLst>
            <a:ext uri="{FF2B5EF4-FFF2-40B4-BE49-F238E27FC236}">
              <a16:creationId xmlns:a16="http://schemas.microsoft.com/office/drawing/2014/main" id="{34D49FE7-F2F5-442D-BDA8-818E29391851}"/>
            </a:ext>
          </a:extLst>
        </xdr:cNvPr>
        <xdr:cNvSpPr/>
      </xdr:nvSpPr>
      <xdr:spPr>
        <a:xfrm>
          <a:off x="71437" y="1266825"/>
          <a:ext cx="13096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Turnos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35718</xdr:colOff>
      <xdr:row>1</xdr:row>
      <xdr:rowOff>500062</xdr:rowOff>
    </xdr:from>
    <xdr:to>
      <xdr:col>4</xdr:col>
      <xdr:colOff>357186</xdr:colOff>
      <xdr:row>1</xdr:row>
      <xdr:rowOff>904874</xdr:rowOff>
    </xdr:to>
    <xdr:sp macro="[0]!Fer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01C5287-EC1B-4A76-A8D2-D264DCA477FC}"/>
            </a:ext>
          </a:extLst>
        </xdr:cNvPr>
        <xdr:cNvSpPr/>
      </xdr:nvSpPr>
      <xdr:spPr>
        <a:xfrm>
          <a:off x="1440656" y="1273968"/>
          <a:ext cx="1297780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Férias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38100</xdr:colOff>
      <xdr:row>1</xdr:row>
      <xdr:rowOff>500061</xdr:rowOff>
    </xdr:from>
    <xdr:to>
      <xdr:col>8</xdr:col>
      <xdr:colOff>312209</xdr:colOff>
      <xdr:row>1</xdr:row>
      <xdr:rowOff>904873</xdr:rowOff>
    </xdr:to>
    <xdr:sp macro="[0]!LimparEscal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71CA448-2E86-4182-AC66-E4E316F50900}"/>
            </a:ext>
          </a:extLst>
        </xdr:cNvPr>
        <xdr:cNvSpPr/>
      </xdr:nvSpPr>
      <xdr:spPr>
        <a:xfrm>
          <a:off x="2800350" y="1273967"/>
          <a:ext cx="1524265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Limpar Escala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392909</xdr:colOff>
      <xdr:row>1</xdr:row>
      <xdr:rowOff>500063</xdr:rowOff>
    </xdr:from>
    <xdr:to>
      <xdr:col>12</xdr:col>
      <xdr:colOff>95252</xdr:colOff>
      <xdr:row>1</xdr:row>
      <xdr:rowOff>904875</xdr:rowOff>
    </xdr:to>
    <xdr:sp macro="[0]!Imprimi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B7C0B2F-1A51-468C-AD66-738906281737}"/>
            </a:ext>
          </a:extLst>
        </xdr:cNvPr>
        <xdr:cNvSpPr/>
      </xdr:nvSpPr>
      <xdr:spPr>
        <a:xfrm>
          <a:off x="4405315" y="1273969"/>
          <a:ext cx="1512093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154781</xdr:colOff>
      <xdr:row>1</xdr:row>
      <xdr:rowOff>511969</xdr:rowOff>
    </xdr:from>
    <xdr:to>
      <xdr:col>15</xdr:col>
      <xdr:colOff>357187</xdr:colOff>
      <xdr:row>1</xdr:row>
      <xdr:rowOff>916781</xdr:rowOff>
    </xdr:to>
    <xdr:sp macro="[0]!Dashboar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0D0AB94-1668-4152-98E8-29AAE79C5DE1}"/>
            </a:ext>
          </a:extLst>
        </xdr:cNvPr>
        <xdr:cNvSpPr/>
      </xdr:nvSpPr>
      <xdr:spPr>
        <a:xfrm>
          <a:off x="5298281" y="1285875"/>
          <a:ext cx="1452562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Dashboard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16669</xdr:colOff>
      <xdr:row>1</xdr:row>
      <xdr:rowOff>511968</xdr:rowOff>
    </xdr:from>
    <xdr:to>
      <xdr:col>19</xdr:col>
      <xdr:colOff>381000</xdr:colOff>
      <xdr:row>1</xdr:row>
      <xdr:rowOff>916780</xdr:rowOff>
    </xdr:to>
    <xdr:sp macro="[0]!Configura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F9EF9EE8-56D3-47A8-B5E2-61087B42E9F9}"/>
            </a:ext>
          </a:extLst>
        </xdr:cNvPr>
        <xdr:cNvSpPr/>
      </xdr:nvSpPr>
      <xdr:spPr>
        <a:xfrm>
          <a:off x="6827044" y="1285874"/>
          <a:ext cx="16144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Configuração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83345</xdr:colOff>
      <xdr:row>1</xdr:row>
      <xdr:rowOff>23813</xdr:rowOff>
    </xdr:from>
    <xdr:to>
      <xdr:col>2</xdr:col>
      <xdr:colOff>214313</xdr:colOff>
      <xdr:row>1</xdr:row>
      <xdr:rowOff>428625</xdr:rowOff>
    </xdr:to>
    <xdr:sp macro="[0]!AdicionarFunciona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7850311-C774-4E1A-9031-9CD35B88A1C8}"/>
            </a:ext>
          </a:extLst>
        </xdr:cNvPr>
        <xdr:cNvSpPr/>
      </xdr:nvSpPr>
      <xdr:spPr>
        <a:xfrm>
          <a:off x="83345" y="797719"/>
          <a:ext cx="1535906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Novo Funcionário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285750</xdr:colOff>
      <xdr:row>1</xdr:row>
      <xdr:rowOff>23811</xdr:rowOff>
    </xdr:from>
    <xdr:to>
      <xdr:col>6</xdr:col>
      <xdr:colOff>333375</xdr:colOff>
      <xdr:row>1</xdr:row>
      <xdr:rowOff>428623</xdr:rowOff>
    </xdr:to>
    <xdr:sp macro="[0]!DeletarFuncionari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8609F02-687A-4B70-A7AF-63821E91AE5D}"/>
            </a:ext>
          </a:extLst>
        </xdr:cNvPr>
        <xdr:cNvSpPr/>
      </xdr:nvSpPr>
      <xdr:spPr>
        <a:xfrm>
          <a:off x="1690688" y="797717"/>
          <a:ext cx="1750218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Deletar Funcionário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35718</xdr:colOff>
      <xdr:row>1</xdr:row>
      <xdr:rowOff>23812</xdr:rowOff>
    </xdr:from>
    <xdr:to>
      <xdr:col>10</xdr:col>
      <xdr:colOff>128586</xdr:colOff>
      <xdr:row>1</xdr:row>
      <xdr:rowOff>428624</xdr:rowOff>
    </xdr:to>
    <xdr:sp macro="[0]!AdicionarHorarioList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4BD245F-D236-4771-9E44-80A1C19440E4}"/>
            </a:ext>
          </a:extLst>
        </xdr:cNvPr>
        <xdr:cNvSpPr/>
      </xdr:nvSpPr>
      <xdr:spPr>
        <a:xfrm>
          <a:off x="3167062" y="797718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Adicionar Horário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190499</xdr:colOff>
      <xdr:row>1</xdr:row>
      <xdr:rowOff>23812</xdr:rowOff>
    </xdr:from>
    <xdr:to>
      <xdr:col>13</xdr:col>
      <xdr:colOff>211930</xdr:colOff>
      <xdr:row>1</xdr:row>
      <xdr:rowOff>428624</xdr:rowOff>
    </xdr:to>
    <xdr:sp macro="[0]!RemoverHorarioList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2CD8D852-336A-4912-9CF8-00565A9AD767}"/>
            </a:ext>
          </a:extLst>
        </xdr:cNvPr>
        <xdr:cNvSpPr/>
      </xdr:nvSpPr>
      <xdr:spPr>
        <a:xfrm>
          <a:off x="4500562" y="797718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Remover Horário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273843</xdr:colOff>
      <xdr:row>1</xdr:row>
      <xdr:rowOff>23813</xdr:rowOff>
    </xdr:from>
    <xdr:to>
      <xdr:col>16</xdr:col>
      <xdr:colOff>295274</xdr:colOff>
      <xdr:row>1</xdr:row>
      <xdr:rowOff>428625</xdr:rowOff>
    </xdr:to>
    <xdr:sp macro="[0]!CriarAbasMese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4D04537A-05F9-42C1-A97B-244874DE6702}"/>
            </a:ext>
          </a:extLst>
        </xdr:cNvPr>
        <xdr:cNvSpPr/>
      </xdr:nvSpPr>
      <xdr:spPr>
        <a:xfrm>
          <a:off x="5834062" y="797719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Gerar Planilhas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35718</xdr:colOff>
      <xdr:row>1</xdr:row>
      <xdr:rowOff>500063</xdr:rowOff>
    </xdr:from>
    <xdr:to>
      <xdr:col>23</xdr:col>
      <xdr:colOff>71438</xdr:colOff>
      <xdr:row>1</xdr:row>
      <xdr:rowOff>904875</xdr:rowOff>
    </xdr:to>
    <xdr:sp macro="[0]!Ajud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F76512A-A2E5-47DE-9078-19D8160CA1B0}"/>
            </a:ext>
          </a:extLst>
        </xdr:cNvPr>
        <xdr:cNvSpPr/>
      </xdr:nvSpPr>
      <xdr:spPr>
        <a:xfrm>
          <a:off x="8512968" y="1273969"/>
          <a:ext cx="1285876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Ajuda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369094</xdr:colOff>
      <xdr:row>1</xdr:row>
      <xdr:rowOff>23813</xdr:rowOff>
    </xdr:from>
    <xdr:to>
      <xdr:col>19</xdr:col>
      <xdr:colOff>390525</xdr:colOff>
      <xdr:row>1</xdr:row>
      <xdr:rowOff>428625</xdr:rowOff>
    </xdr:to>
    <xdr:sp macro="[0]!DeletarPlanilhas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E4CD53C8-0F38-4634-9770-32A0D0D45847}"/>
            </a:ext>
          </a:extLst>
        </xdr:cNvPr>
        <xdr:cNvSpPr/>
      </xdr:nvSpPr>
      <xdr:spPr>
        <a:xfrm>
          <a:off x="7179469" y="797719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Deletar Planilhas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35</xdr:col>
      <xdr:colOff>238125</xdr:colOff>
      <xdr:row>1</xdr:row>
      <xdr:rowOff>905201</xdr:rowOff>
    </xdr:from>
    <xdr:ext cx="3298031" cy="1626471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C7116F21-1989-947F-999B-1C6B039AA502}"/>
            </a:ext>
          </a:extLst>
        </xdr:cNvPr>
        <xdr:cNvSpPr txBox="1"/>
      </xdr:nvSpPr>
      <xdr:spPr>
        <a:xfrm rot="10800000" flipV="1">
          <a:off x="15192375" y="1679107"/>
          <a:ext cx="3298031" cy="16264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Para</a:t>
          </a:r>
          <a:r>
            <a:rPr lang="pt-BR" sz="1400" b="1" baseline="0">
              <a:solidFill>
                <a:schemeClr val="bg1"/>
              </a:solidFill>
            </a:rPr>
            <a:t> utilizar a planilha primeiramente é necessário definir a data inicial presente na célula "D21" e gerar as demais planilhas atravéz do controlador "GERAR PLANILHAS", essa planilha de escala é uma planilha modelo ou para fazer alterações pontuais.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  <xdr:oneCellAnchor>
    <xdr:from>
      <xdr:col>35</xdr:col>
      <xdr:colOff>250031</xdr:colOff>
      <xdr:row>10</xdr:row>
      <xdr:rowOff>38144</xdr:rowOff>
    </xdr:from>
    <xdr:ext cx="3298031" cy="118814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5D242F3-A432-4F9A-BBC5-8E2B2D933898}"/>
            </a:ext>
          </a:extLst>
        </xdr:cNvPr>
        <xdr:cNvSpPr txBox="1"/>
      </xdr:nvSpPr>
      <xdr:spPr>
        <a:xfrm rot="10800000" flipV="1">
          <a:off x="15204281" y="3502863"/>
          <a:ext cx="3298031" cy="118814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Para definir os turnos dos</a:t>
          </a:r>
          <a:r>
            <a:rPr lang="pt-BR" sz="1400" b="1" baseline="0">
              <a:solidFill>
                <a:schemeClr val="bg1"/>
              </a:solidFill>
            </a:rPr>
            <a:t> funcionários é necessário que essa configuração seja realizada depois de gerar as planilhas, assim as configurações serão replicadas para todos os meses subsequentes.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  <xdr:oneCellAnchor>
    <xdr:from>
      <xdr:col>35</xdr:col>
      <xdr:colOff>250031</xdr:colOff>
      <xdr:row>17</xdr:row>
      <xdr:rowOff>116639</xdr:rowOff>
    </xdr:from>
    <xdr:ext cx="3298031" cy="1407308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B7DFFDC5-826D-4381-82FB-15FCEA6B73D4}"/>
            </a:ext>
          </a:extLst>
        </xdr:cNvPr>
        <xdr:cNvSpPr txBox="1"/>
      </xdr:nvSpPr>
      <xdr:spPr>
        <a:xfrm rot="10800000" flipV="1">
          <a:off x="15204281" y="4914858"/>
          <a:ext cx="3298031" cy="140730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</a:t>
          </a:r>
          <a:r>
            <a:rPr lang="pt-BR" sz="1400" b="1" baseline="0">
              <a:solidFill>
                <a:schemeClr val="bg1"/>
              </a:solidFill>
            </a:rPr>
            <a:t> configuração de férias segue os mesmos pré-requisitos acima, ao configurar as férias será registrado também a data inicial e data final em uma tabela presente na planilha "Configuração", para fins de registro.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  <xdr:twoCellAnchor>
    <xdr:from>
      <xdr:col>41</xdr:col>
      <xdr:colOff>166687</xdr:colOff>
      <xdr:row>6</xdr:row>
      <xdr:rowOff>59531</xdr:rowOff>
    </xdr:from>
    <xdr:to>
      <xdr:col>42</xdr:col>
      <xdr:colOff>290989</xdr:colOff>
      <xdr:row>12</xdr:row>
      <xdr:rowOff>108870</xdr:rowOff>
    </xdr:to>
    <xdr:sp macro="" textlink="">
      <xdr:nvSpPr>
        <xdr:cNvPr id="20" name="Seta: Curva para a Esquerda 19">
          <a:extLst>
            <a:ext uri="{FF2B5EF4-FFF2-40B4-BE49-F238E27FC236}">
              <a16:creationId xmlns:a16="http://schemas.microsoft.com/office/drawing/2014/main" id="{ECD81B47-7769-74C4-069F-E6D6EA16C09E}"/>
            </a:ext>
          </a:extLst>
        </xdr:cNvPr>
        <xdr:cNvSpPr/>
      </xdr:nvSpPr>
      <xdr:spPr>
        <a:xfrm>
          <a:off x="18764250" y="2738437"/>
          <a:ext cx="731520" cy="1216152"/>
        </a:xfrm>
        <a:prstGeom prst="curved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190499</xdr:colOff>
      <xdr:row>15</xdr:row>
      <xdr:rowOff>47625</xdr:rowOff>
    </xdr:from>
    <xdr:to>
      <xdr:col>42</xdr:col>
      <xdr:colOff>314801</xdr:colOff>
      <xdr:row>22</xdr:row>
      <xdr:rowOff>73152</xdr:rowOff>
    </xdr:to>
    <xdr:sp macro="" textlink="">
      <xdr:nvSpPr>
        <xdr:cNvPr id="21" name="Seta: Curva para a Esquerda 20">
          <a:extLst>
            <a:ext uri="{FF2B5EF4-FFF2-40B4-BE49-F238E27FC236}">
              <a16:creationId xmlns:a16="http://schemas.microsoft.com/office/drawing/2014/main" id="{702A05CD-A5F5-4F08-9AE4-5AC8BF67E678}"/>
            </a:ext>
          </a:extLst>
        </xdr:cNvPr>
        <xdr:cNvSpPr/>
      </xdr:nvSpPr>
      <xdr:spPr>
        <a:xfrm>
          <a:off x="18788062" y="4464844"/>
          <a:ext cx="731520" cy="1216152"/>
        </a:xfrm>
        <a:prstGeom prst="curved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</xdr:row>
      <xdr:rowOff>23813</xdr:rowOff>
    </xdr:from>
    <xdr:to>
      <xdr:col>23</xdr:col>
      <xdr:colOff>69056</xdr:colOff>
      <xdr:row>1</xdr:row>
      <xdr:rowOff>428625</xdr:rowOff>
    </xdr:to>
    <xdr:sp macro="[0]!Módulo8.VerificarESubstituirTurnos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F4A763BB-CE3D-4F6D-84C6-2FBC62AF425F}"/>
            </a:ext>
          </a:extLst>
        </xdr:cNvPr>
        <xdr:cNvSpPr/>
      </xdr:nvSpPr>
      <xdr:spPr>
        <a:xfrm>
          <a:off x="8524875" y="797719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Definir Folgas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250031</xdr:rowOff>
    </xdr:from>
    <xdr:ext cx="5172605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9062" y="250031"/>
          <a:ext cx="5172605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</a:rPr>
            <a:t>Configuração</a:t>
          </a:r>
        </a:p>
      </xdr:txBody>
    </xdr:sp>
    <xdr:clientData/>
  </xdr:oneCellAnchor>
  <xdr:twoCellAnchor>
    <xdr:from>
      <xdr:col>0</xdr:col>
      <xdr:colOff>62177</xdr:colOff>
      <xdr:row>1</xdr:row>
      <xdr:rowOff>391584</xdr:rowOff>
    </xdr:from>
    <xdr:to>
      <xdr:col>2</xdr:col>
      <xdr:colOff>59531</xdr:colOff>
      <xdr:row>1</xdr:row>
      <xdr:rowOff>796396</xdr:rowOff>
    </xdr:to>
    <xdr:sp macro="[0]!Imprimi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B524A1C-EA17-40B5-A7D8-34EE0F2ED319}"/>
            </a:ext>
          </a:extLst>
        </xdr:cNvPr>
        <xdr:cNvSpPr/>
      </xdr:nvSpPr>
      <xdr:spPr>
        <a:xfrm>
          <a:off x="62177" y="1272647"/>
          <a:ext cx="1318948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63500</xdr:colOff>
      <xdr:row>0</xdr:row>
      <xdr:rowOff>808303</xdr:rowOff>
    </xdr:from>
    <xdr:to>
      <xdr:col>2</xdr:col>
      <xdr:colOff>50271</xdr:colOff>
      <xdr:row>1</xdr:row>
      <xdr:rowOff>332052</xdr:rowOff>
    </xdr:to>
    <xdr:sp macro="[0]!Escal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6838BD5-8721-46B9-8D20-F6A9A92A601D}"/>
            </a:ext>
          </a:extLst>
        </xdr:cNvPr>
        <xdr:cNvSpPr/>
      </xdr:nvSpPr>
      <xdr:spPr>
        <a:xfrm>
          <a:off x="63500" y="808303"/>
          <a:ext cx="1308365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Voltar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124880</xdr:colOff>
      <xdr:row>1</xdr:row>
      <xdr:rowOff>403489</xdr:rowOff>
    </xdr:from>
    <xdr:to>
      <xdr:col>5</xdr:col>
      <xdr:colOff>166685</xdr:colOff>
      <xdr:row>1</xdr:row>
      <xdr:rowOff>808301</xdr:rowOff>
    </xdr:to>
    <xdr:sp macro="[0]!Feria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F34E93D-5DDD-45AA-B0CE-59F80FE8A5D8}"/>
            </a:ext>
          </a:extLst>
        </xdr:cNvPr>
        <xdr:cNvSpPr/>
      </xdr:nvSpPr>
      <xdr:spPr>
        <a:xfrm>
          <a:off x="1446474" y="1284552"/>
          <a:ext cx="1244336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Férias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226221</xdr:colOff>
      <xdr:row>1</xdr:row>
      <xdr:rowOff>404813</xdr:rowOff>
    </xdr:from>
    <xdr:to>
      <xdr:col>10</xdr:col>
      <xdr:colOff>142876</xdr:colOff>
      <xdr:row>1</xdr:row>
      <xdr:rowOff>809625</xdr:rowOff>
    </xdr:to>
    <xdr:sp macro="[0]!LimparEscalaConfiguraçã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4D17A351-71C0-4AC5-B4F7-E2BDC942CA32}"/>
            </a:ext>
          </a:extLst>
        </xdr:cNvPr>
        <xdr:cNvSpPr/>
      </xdr:nvSpPr>
      <xdr:spPr>
        <a:xfrm>
          <a:off x="2750346" y="1285876"/>
          <a:ext cx="1500186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Limpar Relação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214313</xdr:colOff>
      <xdr:row>1</xdr:row>
      <xdr:rowOff>404813</xdr:rowOff>
    </xdr:from>
    <xdr:to>
      <xdr:col>11</xdr:col>
      <xdr:colOff>890587</xdr:colOff>
      <xdr:row>1</xdr:row>
      <xdr:rowOff>809625</xdr:rowOff>
    </xdr:to>
    <xdr:sp macro="[0]!AdicionarHorarioLis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D5187D4-A069-4C4D-9B26-EBF4E7FCFADC}"/>
            </a:ext>
          </a:extLst>
        </xdr:cNvPr>
        <xdr:cNvSpPr/>
      </xdr:nvSpPr>
      <xdr:spPr>
        <a:xfrm>
          <a:off x="4321969" y="1285876"/>
          <a:ext cx="1271587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Adicionar Horário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964407</xdr:colOff>
      <xdr:row>1</xdr:row>
      <xdr:rowOff>416718</xdr:rowOff>
    </xdr:from>
    <xdr:to>
      <xdr:col>14</xdr:col>
      <xdr:colOff>309562</xdr:colOff>
      <xdr:row>1</xdr:row>
      <xdr:rowOff>821530</xdr:rowOff>
    </xdr:to>
    <xdr:sp macro="[0]!RemoverHorarioLis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38E09BB-B196-4E47-B895-96161DCFC21A}"/>
            </a:ext>
          </a:extLst>
        </xdr:cNvPr>
        <xdr:cNvSpPr/>
      </xdr:nvSpPr>
      <xdr:spPr>
        <a:xfrm>
          <a:off x="5667376" y="1297781"/>
          <a:ext cx="1297780" cy="404812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Remover Horário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oneCellAnchor>
    <xdr:from>
      <xdr:col>31</xdr:col>
      <xdr:colOff>0</xdr:colOff>
      <xdr:row>4</xdr:row>
      <xdr:rowOff>1</xdr:rowOff>
    </xdr:from>
    <xdr:ext cx="3298031" cy="1407308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61B40929-A4B3-430F-AAEE-4D23E4EF5C26}"/>
            </a:ext>
          </a:extLst>
        </xdr:cNvPr>
        <xdr:cNvSpPr txBox="1"/>
      </xdr:nvSpPr>
      <xdr:spPr>
        <a:xfrm rot="10800000" flipV="1">
          <a:off x="15085219" y="2226470"/>
          <a:ext cx="3298031" cy="140730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Aqui ficam informações pertinentes para o funcionamento da escala,</a:t>
          </a:r>
          <a:r>
            <a:rPr lang="pt-BR" sz="1400" b="1" baseline="0">
              <a:solidFill>
                <a:schemeClr val="bg1"/>
              </a:solidFill>
            </a:rPr>
            <a:t> favor não alterar ou deletar, a única tabela que pode ser alterada é "Relação Férias", isso pode ser realizado pelo controlador "Limpar Relação".</a:t>
          </a:r>
          <a:endParaRPr lang="pt-BR" sz="1400" b="1">
            <a:solidFill>
              <a:schemeClr val="bg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154781</xdr:rowOff>
    </xdr:from>
    <xdr:ext cx="3690937" cy="53258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062" y="154781"/>
          <a:ext cx="3690937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0">
              <a:solidFill>
                <a:schemeClr val="bg1"/>
              </a:solidFill>
              <a:latin typeface="Century Gothic" panose="020B0502020202020204" pitchFamily="34" charset="0"/>
            </a:rPr>
            <a:t>Dashboard</a:t>
          </a:r>
        </a:p>
      </xdr:txBody>
    </xdr:sp>
    <xdr:clientData/>
  </xdr:oneCellAnchor>
  <xdr:twoCellAnchor editAs="oneCell">
    <xdr:from>
      <xdr:col>45</xdr:col>
      <xdr:colOff>26515</xdr:colOff>
      <xdr:row>0</xdr:row>
      <xdr:rowOff>269370</xdr:rowOff>
    </xdr:from>
    <xdr:to>
      <xdr:col>50</xdr:col>
      <xdr:colOff>10675</xdr:colOff>
      <xdr:row>1</xdr:row>
      <xdr:rowOff>477332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5140" y="269370"/>
          <a:ext cx="2285241" cy="64849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10585</xdr:colOff>
      <xdr:row>12</xdr:row>
      <xdr:rowOff>64940</xdr:rowOff>
    </xdr:from>
    <xdr:to>
      <xdr:col>13</xdr:col>
      <xdr:colOff>1386417</xdr:colOff>
      <xdr:row>35</xdr:row>
      <xdr:rowOff>158750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48B6CA3-C2AF-577F-74F9-182B525B25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673893</xdr:colOff>
      <xdr:row>1</xdr:row>
      <xdr:rowOff>285750</xdr:rowOff>
    </xdr:from>
    <xdr:to>
      <xdr:col>5</xdr:col>
      <xdr:colOff>83343</xdr:colOff>
      <xdr:row>1</xdr:row>
      <xdr:rowOff>702469</xdr:rowOff>
    </xdr:to>
    <xdr:sp macro="[0]!Imprimir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15E24C4-FF5D-4A6D-9148-9D32E231F572}"/>
            </a:ext>
          </a:extLst>
        </xdr:cNvPr>
        <xdr:cNvSpPr/>
      </xdr:nvSpPr>
      <xdr:spPr>
        <a:xfrm>
          <a:off x="1281112" y="726281"/>
          <a:ext cx="1290637" cy="416719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Imprimir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1111419</xdr:colOff>
      <xdr:row>18</xdr:row>
      <xdr:rowOff>10005</xdr:rowOff>
    </xdr:from>
    <xdr:to>
      <xdr:col>49</xdr:col>
      <xdr:colOff>464343</xdr:colOff>
      <xdr:row>37</xdr:row>
      <xdr:rowOff>35719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DCBD32-573C-B5E4-79F0-2D33F4F53E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71438</xdr:colOff>
      <xdr:row>1</xdr:row>
      <xdr:rowOff>285749</xdr:rowOff>
    </xdr:from>
    <xdr:to>
      <xdr:col>1</xdr:col>
      <xdr:colOff>595312</xdr:colOff>
      <xdr:row>1</xdr:row>
      <xdr:rowOff>702466</xdr:rowOff>
    </xdr:to>
    <xdr:sp macro="[0]!Escal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DBD2BBC-FF69-4045-9D45-603238518080}"/>
            </a:ext>
          </a:extLst>
        </xdr:cNvPr>
        <xdr:cNvSpPr/>
      </xdr:nvSpPr>
      <xdr:spPr>
        <a:xfrm>
          <a:off x="71438" y="726280"/>
          <a:ext cx="1131093" cy="416717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Voltar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213870</xdr:colOff>
      <xdr:row>4</xdr:row>
      <xdr:rowOff>171449</xdr:rowOff>
    </xdr:from>
    <xdr:to>
      <xdr:col>2</xdr:col>
      <xdr:colOff>556771</xdr:colOff>
      <xdr:row>7</xdr:row>
      <xdr:rowOff>47624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59D21FB-6A16-9626-742F-4649DA2F6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870" y="1104899"/>
          <a:ext cx="156210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211016</xdr:colOff>
      <xdr:row>7</xdr:row>
      <xdr:rowOff>152400</xdr:rowOff>
    </xdr:from>
    <xdr:to>
      <xdr:col>2</xdr:col>
      <xdr:colOff>533401</xdr:colOff>
      <xdr:row>10</xdr:row>
      <xdr:rowOff>19050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D7C9AAA-DB44-A633-686E-5B8FBF3C2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16" y="1676400"/>
          <a:ext cx="1541585" cy="4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207131</xdr:colOff>
      <xdr:row>10</xdr:row>
      <xdr:rowOff>152399</xdr:rowOff>
    </xdr:from>
    <xdr:to>
      <xdr:col>2</xdr:col>
      <xdr:colOff>552451</xdr:colOff>
      <xdr:row>12</xdr:row>
      <xdr:rowOff>200024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6E3A9C3-D830-4D48-C889-B87834B95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131" y="2266949"/>
          <a:ext cx="1564520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232637</xdr:colOff>
      <xdr:row>13</xdr:row>
      <xdr:rowOff>180974</xdr:rowOff>
    </xdr:from>
    <xdr:to>
      <xdr:col>2</xdr:col>
      <xdr:colOff>533400</xdr:colOff>
      <xdr:row>16</xdr:row>
      <xdr:rowOff>19049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5BC0B29-8E4B-FEAD-CDF2-ADCA2DED3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637" y="2895599"/>
          <a:ext cx="1519963" cy="428625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4</xdr:row>
      <xdr:rowOff>161925</xdr:rowOff>
    </xdr:from>
    <xdr:to>
      <xdr:col>7</xdr:col>
      <xdr:colOff>512561</xdr:colOff>
      <xdr:row>7</xdr:row>
      <xdr:rowOff>27854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D36A123-C9EC-BA01-F46F-E4CE68D5A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0" y="1095375"/>
          <a:ext cx="1484111" cy="456479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7</xdr:row>
      <xdr:rowOff>171450</xdr:rowOff>
    </xdr:from>
    <xdr:to>
      <xdr:col>7</xdr:col>
      <xdr:colOff>514350</xdr:colOff>
      <xdr:row>10</xdr:row>
      <xdr:rowOff>31615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A6D7AB60-3DB6-3995-01A1-7F81584DF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38825" y="1695450"/>
          <a:ext cx="1457325" cy="450715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10</xdr:row>
      <xdr:rowOff>161925</xdr:rowOff>
    </xdr:from>
    <xdr:to>
      <xdr:col>7</xdr:col>
      <xdr:colOff>523876</xdr:colOff>
      <xdr:row>13</xdr:row>
      <xdr:rowOff>24077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0B77E08-CF97-E9BF-A48D-509575376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38825" y="2276475"/>
          <a:ext cx="1466851" cy="462227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285750</xdr:colOff>
      <xdr:row>13</xdr:row>
      <xdr:rowOff>180976</xdr:rowOff>
    </xdr:from>
    <xdr:to>
      <xdr:col>7</xdr:col>
      <xdr:colOff>533401</xdr:colOff>
      <xdr:row>16</xdr:row>
      <xdr:rowOff>53016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3F02B66F-CC3A-1B8A-B9C2-85E8A64A4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848350" y="2895601"/>
          <a:ext cx="1466851" cy="462590"/>
        </a:xfrm>
        <a:prstGeom prst="rect">
          <a:avLst/>
        </a:prstGeom>
      </xdr:spPr>
    </xdr:pic>
    <xdr:clientData/>
  </xdr:twoCellAnchor>
  <xdr:twoCellAnchor>
    <xdr:from>
      <xdr:col>7</xdr:col>
      <xdr:colOff>561975</xdr:colOff>
      <xdr:row>11</xdr:row>
      <xdr:rowOff>38100</xdr:rowOff>
    </xdr:from>
    <xdr:to>
      <xdr:col>7</xdr:col>
      <xdr:colOff>666751</xdr:colOff>
      <xdr:row>14</xdr:row>
      <xdr:rowOff>152400</xdr:rowOff>
    </xdr:to>
    <xdr:sp macro="" textlink="">
      <xdr:nvSpPr>
        <xdr:cNvPr id="13" name="Chave Direita 12">
          <a:extLst>
            <a:ext uri="{FF2B5EF4-FFF2-40B4-BE49-F238E27FC236}">
              <a16:creationId xmlns:a16="http://schemas.microsoft.com/office/drawing/2014/main" id="{B94C554E-E21E-CA9C-4E63-6E5EF9F7BEA6}"/>
            </a:ext>
          </a:extLst>
        </xdr:cNvPr>
        <xdr:cNvSpPr/>
      </xdr:nvSpPr>
      <xdr:spPr>
        <a:xfrm>
          <a:off x="7343775" y="1800225"/>
          <a:ext cx="104776" cy="714375"/>
        </a:xfrm>
        <a:prstGeom prst="rightBrace">
          <a:avLst>
            <a:gd name="adj1" fmla="val 8333"/>
            <a:gd name="adj2" fmla="val 4878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228600</xdr:colOff>
      <xdr:row>16</xdr:row>
      <xdr:rowOff>180975</xdr:rowOff>
    </xdr:from>
    <xdr:to>
      <xdr:col>2</xdr:col>
      <xdr:colOff>542925</xdr:colOff>
      <xdr:row>19</xdr:row>
      <xdr:rowOff>6401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367690F-C9FB-E304-43B3-AC4899580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8600" y="3486150"/>
          <a:ext cx="1533525" cy="415976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266700</xdr:colOff>
      <xdr:row>16</xdr:row>
      <xdr:rowOff>171451</xdr:rowOff>
    </xdr:from>
    <xdr:to>
      <xdr:col>7</xdr:col>
      <xdr:colOff>552449</xdr:colOff>
      <xdr:row>19</xdr:row>
      <xdr:rowOff>27707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CDABEBC7-7626-2263-66FB-67F148D6F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829300" y="3476626"/>
          <a:ext cx="1504949" cy="446806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285751</xdr:colOff>
      <xdr:row>19</xdr:row>
      <xdr:rowOff>180975</xdr:rowOff>
    </xdr:from>
    <xdr:to>
      <xdr:col>7</xdr:col>
      <xdr:colOff>552451</xdr:colOff>
      <xdr:row>22</xdr:row>
      <xdr:rowOff>25003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CDECC92C-A5BF-4D8D-EB62-FA7744217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848351" y="4076700"/>
          <a:ext cx="1485900" cy="43457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2</xdr:row>
      <xdr:rowOff>19050</xdr:rowOff>
    </xdr:from>
    <xdr:to>
      <xdr:col>1</xdr:col>
      <xdr:colOff>495300</xdr:colOff>
      <xdr:row>2</xdr:row>
      <xdr:rowOff>409575</xdr:rowOff>
    </xdr:to>
    <xdr:sp macro="[0]!Escal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4CEFCBC0-01EE-42AD-BF2E-281435D9CB26}"/>
            </a:ext>
          </a:extLst>
        </xdr:cNvPr>
        <xdr:cNvSpPr/>
      </xdr:nvSpPr>
      <xdr:spPr>
        <a:xfrm>
          <a:off x="47625" y="323850"/>
          <a:ext cx="1057275" cy="390525"/>
        </a:xfrm>
        <a:prstGeom prst="roundRect">
          <a:avLst/>
        </a:prstGeom>
        <a:solidFill>
          <a:srgbClr val="156082"/>
        </a:solidFill>
        <a:ln w="3810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ptos Narrow" panose="02110004020202020204"/>
              <a:ea typeface="+mn-ea"/>
              <a:cs typeface="+mn-cs"/>
            </a:rPr>
            <a:t>Voltar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 editAs="oneCell">
    <xdr:from>
      <xdr:col>8</xdr:col>
      <xdr:colOff>3743325</xdr:colOff>
      <xdr:row>1</xdr:row>
      <xdr:rowOff>66676</xdr:rowOff>
    </xdr:from>
    <xdr:to>
      <xdr:col>9</xdr:col>
      <xdr:colOff>536652</xdr:colOff>
      <xdr:row>3</xdr:row>
      <xdr:rowOff>28576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B21E978-027B-4B71-8639-17C9EC005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9975" y="257176"/>
          <a:ext cx="1984452" cy="5143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219075</xdr:colOff>
      <xdr:row>22</xdr:row>
      <xdr:rowOff>180974</xdr:rowOff>
    </xdr:from>
    <xdr:to>
      <xdr:col>2</xdr:col>
      <xdr:colOff>561975</xdr:colOff>
      <xdr:row>25</xdr:row>
      <xdr:rowOff>21835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FD6FE1B-071F-B6CC-4D1C-227A80B2E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075" y="4667249"/>
          <a:ext cx="1562100" cy="431411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19</xdr:row>
      <xdr:rowOff>161926</xdr:rowOff>
    </xdr:from>
    <xdr:to>
      <xdr:col>2</xdr:col>
      <xdr:colOff>514351</xdr:colOff>
      <xdr:row>21</xdr:row>
      <xdr:rowOff>196713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5C832D9-A470-05D5-276F-1A7C0F5F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28601" y="4057651"/>
          <a:ext cx="1504950" cy="425312"/>
        </a:xfrm>
        <a:prstGeom prst="rect">
          <a:avLst/>
        </a:prstGeom>
      </xdr:spPr>
    </xdr:pic>
    <xdr:clientData/>
  </xdr:twoCellAnchor>
  <xdr:twoCellAnchor editAs="oneCell">
    <xdr:from>
      <xdr:col>5</xdr:col>
      <xdr:colOff>266699</xdr:colOff>
      <xdr:row>23</xdr:row>
      <xdr:rowOff>19050</xdr:rowOff>
    </xdr:from>
    <xdr:to>
      <xdr:col>7</xdr:col>
      <xdr:colOff>561974</xdr:colOff>
      <xdr:row>25</xdr:row>
      <xdr:rowOff>53760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6C834974-981B-DD59-FA0C-9030256F1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29299" y="4705350"/>
          <a:ext cx="1514475" cy="4252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42867</xdr:colOff>
      <xdr:row>0</xdr:row>
      <xdr:rowOff>233363</xdr:rowOff>
    </xdr:from>
    <xdr:to>
      <xdr:col>31</xdr:col>
      <xdr:colOff>144971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8ED591C-99B3-4052-A28A-EC06EE357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5267" y="233363"/>
          <a:ext cx="2788154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6789A555-AB1D-4A81-8422-70BDECAA4089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42867</xdr:colOff>
      <xdr:row>0</xdr:row>
      <xdr:rowOff>233363</xdr:rowOff>
    </xdr:from>
    <xdr:to>
      <xdr:col>31</xdr:col>
      <xdr:colOff>144971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F1B2E7C-8083-43CE-8012-CBEC51A05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5267" y="233363"/>
          <a:ext cx="2788154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236D61A-2C37-41FE-9BF6-0FEE6CE78B0C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52392</xdr:colOff>
      <xdr:row>0</xdr:row>
      <xdr:rowOff>233363</xdr:rowOff>
    </xdr:from>
    <xdr:to>
      <xdr:col>31</xdr:col>
      <xdr:colOff>156876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6D57A26-4EE9-45FB-A2DF-E25DBD1DC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4792" y="233363"/>
          <a:ext cx="2790534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E01F8F56-F9AB-44E0-8F1F-5F1D593AD48E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42867</xdr:colOff>
      <xdr:row>0</xdr:row>
      <xdr:rowOff>233363</xdr:rowOff>
    </xdr:from>
    <xdr:to>
      <xdr:col>31</xdr:col>
      <xdr:colOff>144971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5446F28-75A8-4DFA-90AB-1E1D67176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5267" y="233363"/>
          <a:ext cx="2788154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44F879B6-90D4-49D6-8289-A25A5ACA9EB4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42867</xdr:colOff>
      <xdr:row>0</xdr:row>
      <xdr:rowOff>233363</xdr:rowOff>
    </xdr:from>
    <xdr:to>
      <xdr:col>31</xdr:col>
      <xdr:colOff>144970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9FA7963-8910-428D-B895-7A023EF87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5267" y="233363"/>
          <a:ext cx="2788153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1C3713F5-BC9E-4EFD-8FAC-27C9D5148D45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42867</xdr:colOff>
      <xdr:row>0</xdr:row>
      <xdr:rowOff>233363</xdr:rowOff>
    </xdr:from>
    <xdr:to>
      <xdr:col>31</xdr:col>
      <xdr:colOff>144971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C211130-328D-4AA4-B82D-A49BD35F0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5267" y="233363"/>
          <a:ext cx="2788154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C2833C-DCA8-4054-92BA-CC4B3C8D494F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42867</xdr:colOff>
      <xdr:row>0</xdr:row>
      <xdr:rowOff>233363</xdr:rowOff>
    </xdr:from>
    <xdr:to>
      <xdr:col>31</xdr:col>
      <xdr:colOff>144971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1BA4290-3583-46D5-92BC-BB2893362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5267" y="233363"/>
          <a:ext cx="2788154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1D5E0C67-4768-43DE-8E1C-4BC286C6B906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42867</xdr:colOff>
      <xdr:row>0</xdr:row>
      <xdr:rowOff>233363</xdr:rowOff>
    </xdr:from>
    <xdr:to>
      <xdr:col>31</xdr:col>
      <xdr:colOff>144971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725618A-437A-4FC2-8E5F-E311ADF74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5267" y="233363"/>
          <a:ext cx="2788154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A539220B-6A26-4575-8DF2-567C2AF3DCD5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42867</xdr:colOff>
      <xdr:row>0</xdr:row>
      <xdr:rowOff>233363</xdr:rowOff>
    </xdr:from>
    <xdr:to>
      <xdr:col>31</xdr:col>
      <xdr:colOff>144971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61B8A9B-9AD5-4164-B472-3D2D218C4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5267" y="233363"/>
          <a:ext cx="2788154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E8E27BC8-EC67-4BC9-83BE-45424D332C6C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109542</xdr:colOff>
      <xdr:row>0</xdr:row>
      <xdr:rowOff>233363</xdr:rowOff>
    </xdr:from>
    <xdr:to>
      <xdr:col>31</xdr:col>
      <xdr:colOff>221170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FBFAC15-EECF-473F-BDEA-6540DA258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1942" y="233363"/>
          <a:ext cx="2797678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AA49322-A577-48C1-87B0-17A3465E17EF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109542</xdr:colOff>
      <xdr:row>0</xdr:row>
      <xdr:rowOff>233363</xdr:rowOff>
    </xdr:from>
    <xdr:to>
      <xdr:col>31</xdr:col>
      <xdr:colOff>221171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8EFAA1E-3CC0-478B-8BE6-1283B7C11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1942" y="233363"/>
          <a:ext cx="2797679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3B0BEA9-7034-41FA-8E7E-7179F9036E7F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109542</xdr:colOff>
      <xdr:row>0</xdr:row>
      <xdr:rowOff>233363</xdr:rowOff>
    </xdr:from>
    <xdr:to>
      <xdr:col>31</xdr:col>
      <xdr:colOff>221170</xdr:colOff>
      <xdr:row>1</xdr:row>
      <xdr:rowOff>629181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980BC70-1AEB-4D7D-9F4F-B9F8F9938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1942" y="233363"/>
          <a:ext cx="2797678" cy="7958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0</xdr:colOff>
      <xdr:row>0</xdr:row>
      <xdr:rowOff>102393</xdr:rowOff>
    </xdr:from>
    <xdr:ext cx="14573250" cy="9728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CE2CFC8-6CC1-4756-ABFA-417010A49045}"/>
            </a:ext>
          </a:extLst>
        </xdr:cNvPr>
        <xdr:cNvSpPr txBox="1"/>
      </xdr:nvSpPr>
      <xdr:spPr>
        <a:xfrm>
          <a:off x="0" y="102393"/>
          <a:ext cx="14573250" cy="9728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lvl="0" indent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pt-BR" sz="2800" b="0">
              <a:solidFill>
                <a:schemeClr val="bg1">
                  <a:lumMod val="10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Escala Suporte</a:t>
          </a:r>
        </a:p>
        <a:p>
          <a:pPr marL="0" indent="0"/>
          <a:endParaRPr lang="pt-BR" sz="2800" b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olegario\AppData\Local\Temp\5e9a30a2-d9f4-4be0-a36a-bc1e3cc6077d_Planilha-de-escala-de-trabalho.zip.77d\Planilha%20de%20escala%20de%20trabalho.xlsx" TargetMode="External"/><Relationship Id="rId1" Type="http://schemas.openxmlformats.org/officeDocument/2006/relationships/externalLinkPath" Target="https://comnect2019-my.sharepoint.com/Users/lolegario/AppData/Local/Temp/5e9a30a2-d9f4-4be0-a36a-bc1e3cc6077d_Planilha-de-escala-de-trabalho.zip.77d/Planilha%20de%20escala%20de%20trabalh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scala de funcionários"/>
      <sheetName val="Configuração"/>
      <sheetName val="Planilha de escala de trabalho"/>
    </sheetNames>
    <sheetDataSet>
      <sheetData sheetId="0"/>
      <sheetData sheetId="1"/>
      <sheetData sheetId="2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CACEE-93F4-4EAA-8059-CC6261CA8E10}">
  <sheetPr codeName="Planilha5">
    <tabColor theme="4" tint="-0.249977111117893"/>
  </sheetPr>
  <dimension ref="A1:AH40"/>
  <sheetViews>
    <sheetView zoomScale="80" zoomScaleNormal="80" workbookViewId="0">
      <selection activeCell="D22" sqref="D22:G22"/>
    </sheetView>
  </sheetViews>
  <sheetFormatPr defaultRowHeight="15" x14ac:dyDescent="0.25"/>
  <cols>
    <col min="1" max="1" width="12.7109375" bestFit="1" customWidth="1"/>
    <col min="2" max="32" width="6.7109375" customWidth="1"/>
    <col min="33" max="33" width="5.140625" bestFit="1" customWidth="1"/>
    <col min="34" max="34" width="10.85546875" bestFit="1" customWidth="1"/>
    <col min="35" max="35" width="6.140625" bestFit="1" customWidth="1"/>
  </cols>
  <sheetData>
    <row r="1" spans="1:34" ht="60.75" customHeight="1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</row>
    <row r="2" spans="1:34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</row>
    <row r="3" spans="1:3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1:34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  <c r="AG6" s="1"/>
      <c r="AH6" s="1"/>
    </row>
    <row r="7" spans="1:34" ht="15.75" thickBot="1" x14ac:dyDescent="0.3">
      <c r="A7" s="98" t="s">
        <v>1</v>
      </c>
      <c r="B7" s="6" t="str">
        <f>UPPER(TEXT(B8,"[$]ddd"))</f>
        <v>SEG</v>
      </c>
      <c r="C7" s="6" t="str">
        <f t="shared" ref="C7:AF7" si="0">UPPER(TEXT(C8,"[$]ddd"))</f>
        <v>TER</v>
      </c>
      <c r="D7" s="6" t="str">
        <f t="shared" si="0"/>
        <v>QUA</v>
      </c>
      <c r="E7" s="6" t="str">
        <f t="shared" si="0"/>
        <v>QUI</v>
      </c>
      <c r="F7" s="6" t="str">
        <f t="shared" si="0"/>
        <v>SEX</v>
      </c>
      <c r="G7" s="6" t="str">
        <f t="shared" si="0"/>
        <v>SÁB</v>
      </c>
      <c r="H7" s="6" t="str">
        <f t="shared" si="0"/>
        <v>DOM</v>
      </c>
      <c r="I7" s="6" t="str">
        <f t="shared" si="0"/>
        <v>SEG</v>
      </c>
      <c r="J7" s="6" t="str">
        <f t="shared" si="0"/>
        <v>TER</v>
      </c>
      <c r="K7" s="6" t="str">
        <f t="shared" si="0"/>
        <v>QUA</v>
      </c>
      <c r="L7" s="6" t="str">
        <f t="shared" si="0"/>
        <v>QUI</v>
      </c>
      <c r="M7" s="6" t="str">
        <f t="shared" si="0"/>
        <v>SEX</v>
      </c>
      <c r="N7" s="6" t="str">
        <f t="shared" si="0"/>
        <v>SÁB</v>
      </c>
      <c r="O7" s="6" t="str">
        <f t="shared" si="0"/>
        <v>DOM</v>
      </c>
      <c r="P7" s="6" t="str">
        <f t="shared" si="0"/>
        <v>SEG</v>
      </c>
      <c r="Q7" s="6" t="str">
        <f t="shared" si="0"/>
        <v>TER</v>
      </c>
      <c r="R7" s="6" t="str">
        <f t="shared" si="0"/>
        <v>QUA</v>
      </c>
      <c r="S7" s="6" t="str">
        <f t="shared" si="0"/>
        <v>QUI</v>
      </c>
      <c r="T7" s="6" t="str">
        <f t="shared" si="0"/>
        <v>SEX</v>
      </c>
      <c r="U7" s="6" t="str">
        <f t="shared" si="0"/>
        <v>SÁB</v>
      </c>
      <c r="V7" s="6" t="str">
        <f t="shared" si="0"/>
        <v>DOM</v>
      </c>
      <c r="W7" s="6" t="str">
        <f t="shared" si="0"/>
        <v>SEG</v>
      </c>
      <c r="X7" s="6" t="str">
        <f t="shared" si="0"/>
        <v>TER</v>
      </c>
      <c r="Y7" s="6" t="str">
        <f t="shared" si="0"/>
        <v>QUA</v>
      </c>
      <c r="Z7" s="6" t="str">
        <f t="shared" si="0"/>
        <v>QUI</v>
      </c>
      <c r="AA7" s="6" t="str">
        <f t="shared" si="0"/>
        <v>SEX</v>
      </c>
      <c r="AB7" s="6" t="str">
        <f t="shared" si="0"/>
        <v>SÁB</v>
      </c>
      <c r="AC7" s="6" t="str">
        <f t="shared" si="0"/>
        <v>DOM</v>
      </c>
      <c r="AD7" s="6" t="str">
        <f t="shared" si="0"/>
        <v>SEG</v>
      </c>
      <c r="AE7" s="6" t="str">
        <f t="shared" si="0"/>
        <v>TER</v>
      </c>
      <c r="AF7" s="6" t="str">
        <f t="shared" si="0"/>
        <v>QUA</v>
      </c>
      <c r="AG7" s="1"/>
      <c r="AH7" s="1"/>
    </row>
    <row r="8" spans="1:34" ht="15.75" thickBot="1" x14ac:dyDescent="0.3">
      <c r="A8" s="99"/>
      <c r="B8" s="56">
        <f>D21</f>
        <v>45292</v>
      </c>
      <c r="C8" s="57">
        <f>B8+1</f>
        <v>45293</v>
      </c>
      <c r="D8" s="57">
        <f t="shared" ref="D8:AF8" si="1">C8+1</f>
        <v>45294</v>
      </c>
      <c r="E8" s="57">
        <f t="shared" si="1"/>
        <v>45295</v>
      </c>
      <c r="F8" s="57">
        <f t="shared" si="1"/>
        <v>45296</v>
      </c>
      <c r="G8" s="57">
        <f t="shared" si="1"/>
        <v>45297</v>
      </c>
      <c r="H8" s="57">
        <f t="shared" si="1"/>
        <v>45298</v>
      </c>
      <c r="I8" s="57">
        <f t="shared" si="1"/>
        <v>45299</v>
      </c>
      <c r="J8" s="57">
        <f t="shared" si="1"/>
        <v>45300</v>
      </c>
      <c r="K8" s="57">
        <f t="shared" si="1"/>
        <v>45301</v>
      </c>
      <c r="L8" s="57">
        <f t="shared" si="1"/>
        <v>45302</v>
      </c>
      <c r="M8" s="57">
        <f t="shared" si="1"/>
        <v>45303</v>
      </c>
      <c r="N8" s="57">
        <f t="shared" si="1"/>
        <v>45304</v>
      </c>
      <c r="O8" s="57">
        <f t="shared" si="1"/>
        <v>45305</v>
      </c>
      <c r="P8" s="57">
        <f t="shared" si="1"/>
        <v>45306</v>
      </c>
      <c r="Q8" s="57">
        <f t="shared" si="1"/>
        <v>45307</v>
      </c>
      <c r="R8" s="57">
        <f t="shared" si="1"/>
        <v>45308</v>
      </c>
      <c r="S8" s="57">
        <f t="shared" si="1"/>
        <v>45309</v>
      </c>
      <c r="T8" s="57">
        <f t="shared" si="1"/>
        <v>45310</v>
      </c>
      <c r="U8" s="57">
        <f t="shared" si="1"/>
        <v>45311</v>
      </c>
      <c r="V8" s="57">
        <f t="shared" si="1"/>
        <v>45312</v>
      </c>
      <c r="W8" s="57">
        <f t="shared" si="1"/>
        <v>45313</v>
      </c>
      <c r="X8" s="57">
        <f t="shared" si="1"/>
        <v>45314</v>
      </c>
      <c r="Y8" s="57">
        <f t="shared" si="1"/>
        <v>45315</v>
      </c>
      <c r="Z8" s="57">
        <f t="shared" si="1"/>
        <v>45316</v>
      </c>
      <c r="AA8" s="57">
        <f t="shared" si="1"/>
        <v>45317</v>
      </c>
      <c r="AB8" s="57">
        <f t="shared" si="1"/>
        <v>45318</v>
      </c>
      <c r="AC8" s="57">
        <f t="shared" si="1"/>
        <v>45319</v>
      </c>
      <c r="AD8" s="57">
        <f t="shared" si="1"/>
        <v>45320</v>
      </c>
      <c r="AE8" s="57">
        <f t="shared" si="1"/>
        <v>45321</v>
      </c>
      <c r="AF8" s="58">
        <f t="shared" si="1"/>
        <v>45322</v>
      </c>
      <c r="AG8" s="1"/>
      <c r="AH8" s="1"/>
    </row>
    <row r="9" spans="1:34" x14ac:dyDescent="0.25">
      <c r="A9" s="19" t="s">
        <v>2</v>
      </c>
      <c r="B9" s="44" t="s">
        <v>3</v>
      </c>
      <c r="C9" s="45" t="s">
        <v>3</v>
      </c>
      <c r="D9" s="45" t="s">
        <v>3</v>
      </c>
      <c r="E9" s="45" t="s">
        <v>3</v>
      </c>
      <c r="F9" s="45" t="s">
        <v>3</v>
      </c>
      <c r="G9" s="45"/>
      <c r="H9" s="45"/>
      <c r="I9" s="45" t="s">
        <v>3</v>
      </c>
      <c r="J9" s="45" t="s">
        <v>3</v>
      </c>
      <c r="K9" s="45" t="s">
        <v>3</v>
      </c>
      <c r="L9" s="45" t="s">
        <v>3</v>
      </c>
      <c r="M9" s="45" t="s">
        <v>3</v>
      </c>
      <c r="N9" s="45"/>
      <c r="O9" s="45"/>
      <c r="P9" s="45" t="s">
        <v>3</v>
      </c>
      <c r="Q9" s="45" t="s">
        <v>3</v>
      </c>
      <c r="R9" s="45" t="s">
        <v>3</v>
      </c>
      <c r="S9" s="45" t="s">
        <v>3</v>
      </c>
      <c r="T9" s="45" t="s">
        <v>3</v>
      </c>
      <c r="U9" s="45"/>
      <c r="V9" s="45"/>
      <c r="W9" s="45" t="s">
        <v>3</v>
      </c>
      <c r="X9" s="45" t="s">
        <v>3</v>
      </c>
      <c r="Y9" s="45" t="s">
        <v>3</v>
      </c>
      <c r="Z9" s="45" t="s">
        <v>3</v>
      </c>
      <c r="AA9" s="45" t="s">
        <v>3</v>
      </c>
      <c r="AB9" s="45"/>
      <c r="AC9" s="45"/>
      <c r="AD9" s="45" t="s">
        <v>3</v>
      </c>
      <c r="AE9" s="45" t="s">
        <v>3</v>
      </c>
      <c r="AF9" s="55" t="s">
        <v>3</v>
      </c>
      <c r="AG9" s="1"/>
      <c r="AH9" s="1"/>
    </row>
    <row r="10" spans="1:34" x14ac:dyDescent="0.25">
      <c r="A10" s="20" t="s">
        <v>4</v>
      </c>
      <c r="B10" s="47" t="s">
        <v>3</v>
      </c>
      <c r="C10" s="48" t="s">
        <v>3</v>
      </c>
      <c r="D10" s="48" t="s">
        <v>3</v>
      </c>
      <c r="E10" s="48" t="s">
        <v>3</v>
      </c>
      <c r="F10" s="48" t="s">
        <v>3</v>
      </c>
      <c r="G10" s="48"/>
      <c r="H10" s="48"/>
      <c r="I10" s="48" t="s">
        <v>3</v>
      </c>
      <c r="J10" s="48" t="s">
        <v>3</v>
      </c>
      <c r="K10" s="48" t="s">
        <v>3</v>
      </c>
      <c r="L10" s="48" t="s">
        <v>3</v>
      </c>
      <c r="M10" s="48" t="s">
        <v>3</v>
      </c>
      <c r="N10" s="48"/>
      <c r="O10" s="48"/>
      <c r="P10" s="48" t="s">
        <v>3</v>
      </c>
      <c r="Q10" s="48" t="s">
        <v>3</v>
      </c>
      <c r="R10" s="48" t="s">
        <v>3</v>
      </c>
      <c r="S10" s="48" t="s">
        <v>3</v>
      </c>
      <c r="T10" s="48" t="s">
        <v>3</v>
      </c>
      <c r="U10" s="48"/>
      <c r="V10" s="48"/>
      <c r="W10" s="48" t="s">
        <v>3</v>
      </c>
      <c r="X10" s="48" t="s">
        <v>3</v>
      </c>
      <c r="Y10" s="48" t="s">
        <v>3</v>
      </c>
      <c r="Z10" s="48" t="s">
        <v>3</v>
      </c>
      <c r="AA10" s="48" t="s">
        <v>3</v>
      </c>
      <c r="AB10" s="48"/>
      <c r="AC10" s="48"/>
      <c r="AD10" s="48" t="s">
        <v>3</v>
      </c>
      <c r="AE10" s="48" t="s">
        <v>3</v>
      </c>
      <c r="AF10" s="46" t="s">
        <v>3</v>
      </c>
      <c r="AG10" s="1"/>
      <c r="AH10" s="1"/>
    </row>
    <row r="11" spans="1:34" x14ac:dyDescent="0.25">
      <c r="A11" s="20" t="s">
        <v>5</v>
      </c>
      <c r="B11" s="47" t="s">
        <v>3</v>
      </c>
      <c r="C11" s="48" t="s">
        <v>3</v>
      </c>
      <c r="D11" s="48" t="s">
        <v>3</v>
      </c>
      <c r="E11" s="48" t="s">
        <v>3</v>
      </c>
      <c r="F11" s="48" t="s">
        <v>3</v>
      </c>
      <c r="G11" s="48"/>
      <c r="H11" s="48"/>
      <c r="I11" s="48" t="s">
        <v>3</v>
      </c>
      <c r="J11" s="48" t="s">
        <v>3</v>
      </c>
      <c r="K11" s="48" t="s">
        <v>3</v>
      </c>
      <c r="L11" s="48" t="s">
        <v>3</v>
      </c>
      <c r="M11" s="48" t="s">
        <v>3</v>
      </c>
      <c r="N11" s="48"/>
      <c r="O11" s="48"/>
      <c r="P11" s="48" t="s">
        <v>3</v>
      </c>
      <c r="Q11" s="48" t="s">
        <v>3</v>
      </c>
      <c r="R11" s="48" t="s">
        <v>3</v>
      </c>
      <c r="S11" s="48" t="s">
        <v>3</v>
      </c>
      <c r="T11" s="48" t="s">
        <v>3</v>
      </c>
      <c r="U11" s="48"/>
      <c r="V11" s="48"/>
      <c r="W11" s="48" t="s">
        <v>3</v>
      </c>
      <c r="X11" s="48" t="s">
        <v>3</v>
      </c>
      <c r="Y11" s="48" t="s">
        <v>3</v>
      </c>
      <c r="Z11" s="48" t="s">
        <v>3</v>
      </c>
      <c r="AA11" s="48" t="s">
        <v>3</v>
      </c>
      <c r="AB11" s="48"/>
      <c r="AC11" s="48"/>
      <c r="AD11" s="48" t="s">
        <v>3</v>
      </c>
      <c r="AE11" s="48" t="s">
        <v>3</v>
      </c>
      <c r="AF11" s="46" t="s">
        <v>3</v>
      </c>
      <c r="AG11" s="1"/>
      <c r="AH11" s="1"/>
    </row>
    <row r="12" spans="1:34" x14ac:dyDescent="0.25">
      <c r="A12" s="20" t="s">
        <v>6</v>
      </c>
      <c r="B12" s="47" t="s">
        <v>3</v>
      </c>
      <c r="C12" s="48" t="s">
        <v>3</v>
      </c>
      <c r="D12" s="48" t="s">
        <v>3</v>
      </c>
      <c r="E12" s="48" t="s">
        <v>3</v>
      </c>
      <c r="F12" s="48" t="s">
        <v>3</v>
      </c>
      <c r="G12" s="48"/>
      <c r="H12" s="48"/>
      <c r="I12" s="48" t="s">
        <v>3</v>
      </c>
      <c r="J12" s="48" t="s">
        <v>3</v>
      </c>
      <c r="K12" s="48" t="s">
        <v>3</v>
      </c>
      <c r="L12" s="48" t="s">
        <v>3</v>
      </c>
      <c r="M12" s="48" t="s">
        <v>3</v>
      </c>
      <c r="N12" s="48"/>
      <c r="O12" s="48"/>
      <c r="P12" s="48" t="s">
        <v>3</v>
      </c>
      <c r="Q12" s="48" t="s">
        <v>3</v>
      </c>
      <c r="R12" s="48" t="s">
        <v>3</v>
      </c>
      <c r="S12" s="48" t="s">
        <v>3</v>
      </c>
      <c r="T12" s="48" t="s">
        <v>3</v>
      </c>
      <c r="U12" s="48"/>
      <c r="V12" s="48"/>
      <c r="W12" s="48" t="s">
        <v>3</v>
      </c>
      <c r="X12" s="48" t="s">
        <v>3</v>
      </c>
      <c r="Y12" s="48" t="s">
        <v>3</v>
      </c>
      <c r="Z12" s="48" t="s">
        <v>3</v>
      </c>
      <c r="AA12" s="48" t="s">
        <v>3</v>
      </c>
      <c r="AB12" s="48"/>
      <c r="AC12" s="48"/>
      <c r="AD12" s="48" t="s">
        <v>3</v>
      </c>
      <c r="AE12" s="48" t="s">
        <v>3</v>
      </c>
      <c r="AF12" s="46" t="s">
        <v>3</v>
      </c>
      <c r="AG12" s="1"/>
      <c r="AH12" s="1"/>
    </row>
    <row r="13" spans="1:34" x14ac:dyDescent="0.25">
      <c r="A13" s="20" t="s">
        <v>7</v>
      </c>
      <c r="B13" s="47" t="s">
        <v>3</v>
      </c>
      <c r="C13" s="48" t="s">
        <v>3</v>
      </c>
      <c r="D13" s="48" t="s">
        <v>3</v>
      </c>
      <c r="E13" s="48" t="s">
        <v>3</v>
      </c>
      <c r="F13" s="48" t="s">
        <v>3</v>
      </c>
      <c r="G13" s="48"/>
      <c r="H13" s="48"/>
      <c r="I13" s="48" t="s">
        <v>3</v>
      </c>
      <c r="J13" s="48" t="s">
        <v>3</v>
      </c>
      <c r="K13" s="48" t="s">
        <v>3</v>
      </c>
      <c r="L13" s="48" t="s">
        <v>3</v>
      </c>
      <c r="M13" s="48" t="s">
        <v>3</v>
      </c>
      <c r="N13" s="48"/>
      <c r="O13" s="48"/>
      <c r="P13" s="48" t="s">
        <v>3</v>
      </c>
      <c r="Q13" s="48" t="s">
        <v>3</v>
      </c>
      <c r="R13" s="48" t="s">
        <v>3</v>
      </c>
      <c r="S13" s="48" t="s">
        <v>3</v>
      </c>
      <c r="T13" s="48" t="s">
        <v>3</v>
      </c>
      <c r="U13" s="48"/>
      <c r="V13" s="48"/>
      <c r="W13" s="48" t="s">
        <v>3</v>
      </c>
      <c r="X13" s="48" t="s">
        <v>3</v>
      </c>
      <c r="Y13" s="48" t="s">
        <v>3</v>
      </c>
      <c r="Z13" s="48" t="s">
        <v>3</v>
      </c>
      <c r="AA13" s="48" t="s">
        <v>3</v>
      </c>
      <c r="AB13" s="48"/>
      <c r="AC13" s="48"/>
      <c r="AD13" s="48" t="s">
        <v>3</v>
      </c>
      <c r="AE13" s="48" t="s">
        <v>3</v>
      </c>
      <c r="AF13" s="46" t="s">
        <v>3</v>
      </c>
      <c r="AG13" s="1"/>
      <c r="AH13" s="1"/>
    </row>
    <row r="14" spans="1:34" x14ac:dyDescent="0.25">
      <c r="A14" s="20" t="s">
        <v>8</v>
      </c>
      <c r="B14" s="47" t="s">
        <v>3</v>
      </c>
      <c r="C14" s="48" t="s">
        <v>3</v>
      </c>
      <c r="D14" s="48" t="s">
        <v>3</v>
      </c>
      <c r="E14" s="48" t="s">
        <v>3</v>
      </c>
      <c r="F14" s="48" t="s">
        <v>3</v>
      </c>
      <c r="G14" s="48"/>
      <c r="H14" s="48"/>
      <c r="I14" s="48" t="s">
        <v>3</v>
      </c>
      <c r="J14" s="48" t="s">
        <v>3</v>
      </c>
      <c r="K14" s="48" t="s">
        <v>3</v>
      </c>
      <c r="L14" s="48" t="s">
        <v>3</v>
      </c>
      <c r="M14" s="48" t="s">
        <v>3</v>
      </c>
      <c r="N14" s="48"/>
      <c r="O14" s="48"/>
      <c r="P14" s="48" t="s">
        <v>3</v>
      </c>
      <c r="Q14" s="48" t="s">
        <v>3</v>
      </c>
      <c r="R14" s="48" t="s">
        <v>3</v>
      </c>
      <c r="S14" s="48" t="s">
        <v>3</v>
      </c>
      <c r="T14" s="48" t="s">
        <v>3</v>
      </c>
      <c r="U14" s="48"/>
      <c r="V14" s="48"/>
      <c r="W14" s="48" t="s">
        <v>3</v>
      </c>
      <c r="X14" s="48" t="s">
        <v>3</v>
      </c>
      <c r="Y14" s="48" t="s">
        <v>3</v>
      </c>
      <c r="Z14" s="48" t="s">
        <v>3</v>
      </c>
      <c r="AA14" s="48" t="s">
        <v>3</v>
      </c>
      <c r="AB14" s="48"/>
      <c r="AC14" s="48"/>
      <c r="AD14" s="48" t="s">
        <v>3</v>
      </c>
      <c r="AE14" s="48" t="s">
        <v>3</v>
      </c>
      <c r="AF14" s="46" t="s">
        <v>3</v>
      </c>
      <c r="AG14" s="1"/>
      <c r="AH14" s="1"/>
    </row>
    <row r="15" spans="1:34" x14ac:dyDescent="0.25">
      <c r="A15" s="20" t="s">
        <v>9</v>
      </c>
      <c r="B15" s="47" t="s">
        <v>10</v>
      </c>
      <c r="C15" s="48" t="s">
        <v>10</v>
      </c>
      <c r="D15" s="48" t="s">
        <v>10</v>
      </c>
      <c r="E15" s="48" t="s">
        <v>10</v>
      </c>
      <c r="F15" s="48" t="s">
        <v>10</v>
      </c>
      <c r="G15" s="48"/>
      <c r="H15" s="48"/>
      <c r="I15" s="48" t="s">
        <v>10</v>
      </c>
      <c r="J15" s="48" t="s">
        <v>10</v>
      </c>
      <c r="K15" s="48" t="s">
        <v>10</v>
      </c>
      <c r="L15" s="48" t="s">
        <v>10</v>
      </c>
      <c r="M15" s="48" t="s">
        <v>10</v>
      </c>
      <c r="N15" s="48"/>
      <c r="O15" s="48"/>
      <c r="P15" s="48" t="s">
        <v>10</v>
      </c>
      <c r="Q15" s="48" t="s">
        <v>10</v>
      </c>
      <c r="R15" s="48" t="s">
        <v>10</v>
      </c>
      <c r="S15" s="48" t="s">
        <v>10</v>
      </c>
      <c r="T15" s="48" t="s">
        <v>10</v>
      </c>
      <c r="U15" s="48"/>
      <c r="V15" s="48"/>
      <c r="W15" s="48" t="s">
        <v>10</v>
      </c>
      <c r="X15" s="48" t="s">
        <v>10</v>
      </c>
      <c r="Y15" s="48" t="s">
        <v>10</v>
      </c>
      <c r="Z15" s="48" t="s">
        <v>10</v>
      </c>
      <c r="AA15" s="48" t="s">
        <v>10</v>
      </c>
      <c r="AB15" s="48"/>
      <c r="AC15" s="48"/>
      <c r="AD15" s="48" t="s">
        <v>10</v>
      </c>
      <c r="AE15" s="48" t="s">
        <v>10</v>
      </c>
      <c r="AF15" s="46" t="s">
        <v>10</v>
      </c>
      <c r="AG15" s="1"/>
      <c r="AH15" s="1"/>
    </row>
    <row r="16" spans="1:34" x14ac:dyDescent="0.25">
      <c r="A16" s="20" t="s">
        <v>11</v>
      </c>
      <c r="B16" s="47" t="s">
        <v>10</v>
      </c>
      <c r="C16" s="48" t="s">
        <v>10</v>
      </c>
      <c r="D16" s="48" t="s">
        <v>10</v>
      </c>
      <c r="E16" s="48" t="s">
        <v>10</v>
      </c>
      <c r="F16" s="48" t="s">
        <v>10</v>
      </c>
      <c r="G16" s="48"/>
      <c r="H16" s="48"/>
      <c r="I16" s="48" t="s">
        <v>10</v>
      </c>
      <c r="J16" s="48" t="s">
        <v>10</v>
      </c>
      <c r="K16" s="48" t="s">
        <v>10</v>
      </c>
      <c r="L16" s="48" t="s">
        <v>10</v>
      </c>
      <c r="M16" s="48" t="s">
        <v>10</v>
      </c>
      <c r="N16" s="48"/>
      <c r="O16" s="48"/>
      <c r="P16" s="48" t="s">
        <v>10</v>
      </c>
      <c r="Q16" s="48" t="s">
        <v>10</v>
      </c>
      <c r="R16" s="48" t="s">
        <v>10</v>
      </c>
      <c r="S16" s="48" t="s">
        <v>10</v>
      </c>
      <c r="T16" s="48" t="s">
        <v>10</v>
      </c>
      <c r="U16" s="48"/>
      <c r="V16" s="48"/>
      <c r="W16" s="48" t="s">
        <v>10</v>
      </c>
      <c r="X16" s="48" t="s">
        <v>10</v>
      </c>
      <c r="Y16" s="48" t="s">
        <v>10</v>
      </c>
      <c r="Z16" s="48" t="s">
        <v>10</v>
      </c>
      <c r="AA16" s="48" t="s">
        <v>10</v>
      </c>
      <c r="AB16" s="48"/>
      <c r="AC16" s="48"/>
      <c r="AD16" s="48" t="s">
        <v>10</v>
      </c>
      <c r="AE16" s="48" t="s">
        <v>10</v>
      </c>
      <c r="AF16" s="46" t="s">
        <v>10</v>
      </c>
      <c r="AG16" s="1"/>
      <c r="AH16" s="1"/>
    </row>
    <row r="17" spans="1:34" x14ac:dyDescent="0.25">
      <c r="A17" s="20" t="s">
        <v>12</v>
      </c>
      <c r="B17" s="47" t="s">
        <v>13</v>
      </c>
      <c r="C17" s="48" t="s">
        <v>13</v>
      </c>
      <c r="D17" s="48" t="s">
        <v>13</v>
      </c>
      <c r="E17" s="48" t="s">
        <v>13</v>
      </c>
      <c r="F17" s="48" t="s">
        <v>13</v>
      </c>
      <c r="G17" s="48"/>
      <c r="H17" s="48"/>
      <c r="I17" s="48" t="s">
        <v>13</v>
      </c>
      <c r="J17" s="48" t="s">
        <v>13</v>
      </c>
      <c r="K17" s="48" t="s">
        <v>13</v>
      </c>
      <c r="L17" s="48" t="s">
        <v>13</v>
      </c>
      <c r="M17" s="48" t="s">
        <v>13</v>
      </c>
      <c r="N17" s="48"/>
      <c r="O17" s="48"/>
      <c r="P17" s="48" t="s">
        <v>13</v>
      </c>
      <c r="Q17" s="48" t="s">
        <v>13</v>
      </c>
      <c r="R17" s="48" t="s">
        <v>13</v>
      </c>
      <c r="S17" s="48" t="s">
        <v>13</v>
      </c>
      <c r="T17" s="48" t="s">
        <v>13</v>
      </c>
      <c r="U17" s="48"/>
      <c r="V17" s="48"/>
      <c r="W17" s="48" t="s">
        <v>13</v>
      </c>
      <c r="X17" s="48" t="s">
        <v>13</v>
      </c>
      <c r="Y17" s="48" t="s">
        <v>13</v>
      </c>
      <c r="Z17" s="48" t="s">
        <v>13</v>
      </c>
      <c r="AA17" s="48" t="s">
        <v>13</v>
      </c>
      <c r="AB17" s="48"/>
      <c r="AC17" s="48"/>
      <c r="AD17" s="48" t="s">
        <v>13</v>
      </c>
      <c r="AE17" s="48" t="s">
        <v>13</v>
      </c>
      <c r="AF17" s="46" t="s">
        <v>13</v>
      </c>
      <c r="AG17" s="1"/>
      <c r="AH17" s="1"/>
    </row>
    <row r="18" spans="1:34" ht="15.75" thickBot="1" x14ac:dyDescent="0.3">
      <c r="A18" s="21" t="s">
        <v>14</v>
      </c>
      <c r="B18" s="49" t="s">
        <v>13</v>
      </c>
      <c r="C18" s="33" t="s">
        <v>13</v>
      </c>
      <c r="D18" s="33" t="s">
        <v>13</v>
      </c>
      <c r="E18" s="33" t="s">
        <v>13</v>
      </c>
      <c r="F18" s="33" t="s">
        <v>13</v>
      </c>
      <c r="G18" s="33"/>
      <c r="H18" s="33"/>
      <c r="I18" s="33" t="s">
        <v>13</v>
      </c>
      <c r="J18" s="33" t="s">
        <v>13</v>
      </c>
      <c r="K18" s="33" t="s">
        <v>13</v>
      </c>
      <c r="L18" s="33" t="s">
        <v>13</v>
      </c>
      <c r="M18" s="33" t="s">
        <v>13</v>
      </c>
      <c r="N18" s="33"/>
      <c r="O18" s="33"/>
      <c r="P18" s="33" t="s">
        <v>13</v>
      </c>
      <c r="Q18" s="33" t="s">
        <v>13</v>
      </c>
      <c r="R18" s="33" t="s">
        <v>13</v>
      </c>
      <c r="S18" s="33" t="s">
        <v>13</v>
      </c>
      <c r="T18" s="33" t="s">
        <v>13</v>
      </c>
      <c r="U18" s="33"/>
      <c r="V18" s="33"/>
      <c r="W18" s="33" t="s">
        <v>13</v>
      </c>
      <c r="X18" s="33" t="s">
        <v>13</v>
      </c>
      <c r="Y18" s="33" t="s">
        <v>13</v>
      </c>
      <c r="Z18" s="33" t="s">
        <v>13</v>
      </c>
      <c r="AA18" s="33" t="s">
        <v>13</v>
      </c>
      <c r="AB18" s="33"/>
      <c r="AC18" s="33"/>
      <c r="AD18" s="33" t="s">
        <v>13</v>
      </c>
      <c r="AE18" s="33" t="s">
        <v>13</v>
      </c>
      <c r="AF18" s="50" t="s">
        <v>13</v>
      </c>
      <c r="AG18" s="1"/>
      <c r="AH18" s="1"/>
    </row>
    <row r="19" spans="1:34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  <c r="AG19" s="1"/>
      <c r="AH19" s="1"/>
    </row>
    <row r="20" spans="1:34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1:34" ht="15.75" thickBot="1" x14ac:dyDescent="0.3">
      <c r="A21" s="1"/>
      <c r="B21" s="93" t="s">
        <v>16</v>
      </c>
      <c r="C21" s="100"/>
      <c r="D21" s="101">
        <v>45292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  <c r="AG21" s="1"/>
      <c r="AH21" s="1"/>
    </row>
    <row r="22" spans="1:34" ht="15.75" thickBot="1" x14ac:dyDescent="0.3">
      <c r="A22" s="1"/>
      <c r="B22" s="104" t="s">
        <v>22</v>
      </c>
      <c r="C22" s="105"/>
      <c r="D22" s="106">
        <f>EOMONTH(D21,0)</f>
        <v>45322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  <c r="AG22" s="1"/>
      <c r="AH22" s="1"/>
    </row>
    <row r="23" spans="1:34" ht="15.75" thickBot="1" x14ac:dyDescent="0.3">
      <c r="A23" s="1"/>
      <c r="B23" s="109" t="s">
        <v>28</v>
      </c>
      <c r="C23" s="110"/>
      <c r="D23" s="111">
        <f>DAY(D22)</f>
        <v>31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  <c r="AG23" s="1"/>
      <c r="AH23" s="1"/>
    </row>
    <row r="24" spans="1:34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  <c r="AH24" s="1"/>
    </row>
    <row r="25" spans="1:34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  <c r="AG25" s="1"/>
      <c r="AH25" s="1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x14ac:dyDescent="0.25">
      <c r="N40" s="1"/>
    </row>
  </sheetData>
  <mergeCells count="40">
    <mergeCell ref="W21:Y21"/>
    <mergeCell ref="W22:Y22"/>
    <mergeCell ref="W23:Y23"/>
    <mergeCell ref="W24:Y24"/>
    <mergeCell ref="W25:Y25"/>
    <mergeCell ref="T22:V22"/>
    <mergeCell ref="T21:V21"/>
    <mergeCell ref="T23:V23"/>
    <mergeCell ref="T24:V24"/>
    <mergeCell ref="T25:V25"/>
    <mergeCell ref="O24:P24"/>
    <mergeCell ref="O25:P25"/>
    <mergeCell ref="Q21:S21"/>
    <mergeCell ref="Q22:S22"/>
    <mergeCell ref="Q23:S23"/>
    <mergeCell ref="Q24:S24"/>
    <mergeCell ref="Q25:S25"/>
    <mergeCell ref="H23:I23"/>
    <mergeCell ref="H21:I21"/>
    <mergeCell ref="H22:I22"/>
    <mergeCell ref="A6:AF6"/>
    <mergeCell ref="A7:A8"/>
    <mergeCell ref="B21:C21"/>
    <mergeCell ref="D21:G21"/>
    <mergeCell ref="B22:C22"/>
    <mergeCell ref="D22:G22"/>
    <mergeCell ref="B23:C23"/>
    <mergeCell ref="D23:G23"/>
    <mergeCell ref="J21:K21"/>
    <mergeCell ref="J22:K22"/>
    <mergeCell ref="J23:K23"/>
    <mergeCell ref="N21:N23"/>
    <mergeCell ref="O21:P23"/>
    <mergeCell ref="AA21:AE21"/>
    <mergeCell ref="AB22:AC22"/>
    <mergeCell ref="AB23:AC23"/>
    <mergeCell ref="AB24:AC24"/>
    <mergeCell ref="AD22:AE22"/>
    <mergeCell ref="AD23:AE23"/>
    <mergeCell ref="AD24:AE24"/>
  </mergeCells>
  <conditionalFormatting sqref="AI15:AI19">
    <cfRule type="expression" dxfId="747" priority="72">
      <formula>INDIRECT(_xludf.CELL("address"))="$AL$10:$AL$19"</formula>
    </cfRule>
  </conditionalFormatting>
  <conditionalFormatting sqref="B19:AF19">
    <cfRule type="containsText" dxfId="746" priority="68" operator="containsText" text="FE">
      <formula>NOT(ISERROR(SEARCH("FE",B19)))</formula>
    </cfRule>
  </conditionalFormatting>
  <conditionalFormatting sqref="B9:AF18">
    <cfRule type="containsText" dxfId="745" priority="1" operator="containsText" text="E3">
      <formula>NOT(ISERROR(SEARCH("E3",B9)))</formula>
    </cfRule>
    <cfRule type="containsText" dxfId="744" priority="2" operator="containsText" text="E2">
      <formula>NOT(ISERROR(SEARCH("E2",B9)))</formula>
    </cfRule>
    <cfRule type="containsText" dxfId="743" priority="3" operator="containsText" text="E1">
      <formula>NOT(ISERROR(SEARCH("E1",B9)))</formula>
    </cfRule>
    <cfRule type="containsText" dxfId="742" priority="63" operator="containsText" text="DO">
      <formula>NOT(ISERROR(SEARCH("DO",B9)))</formula>
    </cfRule>
    <cfRule type="containsText" dxfId="741" priority="64" operator="containsText" text="VA">
      <formula>NOT(ISERROR(SEARCH("VA",B9)))</formula>
    </cfRule>
    <cfRule type="containsText" dxfId="740" priority="65" operator="containsText" text="T1">
      <formula>NOT(ISERROR(SEARCH("T1",B9)))</formula>
    </cfRule>
    <cfRule type="containsText" dxfId="739" priority="66" operator="containsText" text="T2">
      <formula>NOT(ISERROR(SEARCH("T2",B9)))</formula>
    </cfRule>
    <cfRule type="containsText" dxfId="738" priority="67" operator="containsText" text="T3">
      <formula>NOT(ISERROR(SEARCH("T3",B9)))</formula>
    </cfRule>
  </conditionalFormatting>
  <conditionalFormatting sqref="B8">
    <cfRule type="expression" dxfId="737" priority="62">
      <formula>$B$19="FE"</formula>
    </cfRule>
  </conditionalFormatting>
  <conditionalFormatting sqref="C8">
    <cfRule type="expression" dxfId="736" priority="61">
      <formula>$C$19="FE"</formula>
    </cfRule>
  </conditionalFormatting>
  <conditionalFormatting sqref="D8">
    <cfRule type="expression" dxfId="735" priority="59">
      <formula>$D$19="FE"</formula>
    </cfRule>
  </conditionalFormatting>
  <conditionalFormatting sqref="E8">
    <cfRule type="expression" dxfId="734" priority="58">
      <formula>$E$19="FE"</formula>
    </cfRule>
  </conditionalFormatting>
  <conditionalFormatting sqref="F8">
    <cfRule type="expression" dxfId="733" priority="57">
      <formula>$F$19="FE"</formula>
    </cfRule>
  </conditionalFormatting>
  <conditionalFormatting sqref="G8">
    <cfRule type="expression" dxfId="732" priority="56">
      <formula>$G$19="FE"</formula>
    </cfRule>
  </conditionalFormatting>
  <conditionalFormatting sqref="H8">
    <cfRule type="expression" dxfId="731" priority="55">
      <formula>$H$19="FE"</formula>
    </cfRule>
  </conditionalFormatting>
  <conditionalFormatting sqref="I8">
    <cfRule type="expression" dxfId="730" priority="54">
      <formula>$I$19="FE"</formula>
    </cfRule>
  </conditionalFormatting>
  <conditionalFormatting sqref="J8">
    <cfRule type="expression" dxfId="729" priority="53">
      <formula>$J$19="FE"</formula>
    </cfRule>
  </conditionalFormatting>
  <conditionalFormatting sqref="K8">
    <cfRule type="expression" dxfId="728" priority="52">
      <formula>$K$19="FE"</formula>
    </cfRule>
  </conditionalFormatting>
  <conditionalFormatting sqref="L8">
    <cfRule type="expression" dxfId="727" priority="51">
      <formula>$L$19="FE"</formula>
    </cfRule>
  </conditionalFormatting>
  <conditionalFormatting sqref="M8">
    <cfRule type="expression" dxfId="726" priority="50">
      <formula>$M$19="FE"</formula>
    </cfRule>
  </conditionalFormatting>
  <conditionalFormatting sqref="N8">
    <cfRule type="expression" dxfId="725" priority="49">
      <formula>$N$19="FE"</formula>
    </cfRule>
  </conditionalFormatting>
  <conditionalFormatting sqref="O8">
    <cfRule type="expression" dxfId="724" priority="48">
      <formula>$O$19="FE"</formula>
    </cfRule>
  </conditionalFormatting>
  <conditionalFormatting sqref="P8">
    <cfRule type="expression" dxfId="723" priority="47">
      <formula>$P$19="FE"</formula>
    </cfRule>
  </conditionalFormatting>
  <conditionalFormatting sqref="Q8">
    <cfRule type="expression" dxfId="722" priority="46">
      <formula>$Q$19="FE"</formula>
    </cfRule>
  </conditionalFormatting>
  <conditionalFormatting sqref="R8">
    <cfRule type="expression" dxfId="721" priority="45">
      <formula>$R$19="FE"</formula>
    </cfRule>
  </conditionalFormatting>
  <conditionalFormatting sqref="S8">
    <cfRule type="expression" dxfId="720" priority="44">
      <formula>$S$19="FE"</formula>
    </cfRule>
  </conditionalFormatting>
  <conditionalFormatting sqref="T8">
    <cfRule type="expression" dxfId="719" priority="43">
      <formula>$T$19="FE"</formula>
    </cfRule>
  </conditionalFormatting>
  <conditionalFormatting sqref="U8">
    <cfRule type="expression" dxfId="718" priority="42">
      <formula>$U$19="FE"</formula>
    </cfRule>
  </conditionalFormatting>
  <conditionalFormatting sqref="V8">
    <cfRule type="expression" dxfId="717" priority="41">
      <formula>$V$19="FE"</formula>
    </cfRule>
  </conditionalFormatting>
  <conditionalFormatting sqref="W8">
    <cfRule type="expression" dxfId="716" priority="40">
      <formula>$W$19="FE"</formula>
    </cfRule>
  </conditionalFormatting>
  <conditionalFormatting sqref="X8">
    <cfRule type="expression" dxfId="715" priority="39">
      <formula>$X$19="FE"</formula>
    </cfRule>
  </conditionalFormatting>
  <conditionalFormatting sqref="Y8">
    <cfRule type="expression" dxfId="714" priority="38">
      <formula>$Y$19="FE"</formula>
    </cfRule>
  </conditionalFormatting>
  <conditionalFormatting sqref="Z8">
    <cfRule type="expression" dxfId="713" priority="37">
      <formula>$Z$19="FE"</formula>
    </cfRule>
  </conditionalFormatting>
  <conditionalFormatting sqref="AA8">
    <cfRule type="expression" dxfId="712" priority="36">
      <formula>$AA$19="FE"</formula>
    </cfRule>
  </conditionalFormatting>
  <conditionalFormatting sqref="AB8">
    <cfRule type="expression" dxfId="711" priority="35">
      <formula>$AB$19="FE"</formula>
    </cfRule>
  </conditionalFormatting>
  <conditionalFormatting sqref="AC8">
    <cfRule type="expression" dxfId="710" priority="34">
      <formula>$AC$19="FE"</formula>
    </cfRule>
  </conditionalFormatting>
  <conditionalFormatting sqref="AD8">
    <cfRule type="expression" dxfId="709" priority="33">
      <formula>$AD$19="FE"</formula>
    </cfRule>
  </conditionalFormatting>
  <conditionalFormatting sqref="AE8">
    <cfRule type="expression" dxfId="708" priority="32">
      <formula>$AE$19="FE"</formula>
    </cfRule>
  </conditionalFormatting>
  <conditionalFormatting sqref="AF8">
    <cfRule type="expression" dxfId="707" priority="31">
      <formula>$AF$19="FE"</formula>
    </cfRule>
  </conditionalFormatting>
  <conditionalFormatting sqref="B7:AF7">
    <cfRule type="containsText" dxfId="706" priority="29" operator="containsText" text="DOM">
      <formula>NOT(ISERROR(SEARCH("DOM",B7)))</formula>
    </cfRule>
    <cfRule type="containsText" dxfId="705" priority="30" operator="containsText" text="SÁB">
      <formula>NOT(ISERROR(SEARCH("SÁB",B7)))</formula>
    </cfRule>
  </conditionalFormatting>
  <conditionalFormatting sqref="J23">
    <cfRule type="containsText" dxfId="704" priority="28" operator="containsText" text="FE">
      <formula>NOT(ISERROR(SEARCH("FE",J23)))</formula>
    </cfRule>
  </conditionalFormatting>
  <conditionalFormatting sqref="N21">
    <cfRule type="containsText" dxfId="703" priority="16" operator="containsText" text="T3">
      <formula>NOT(ISERROR(SEARCH("T3",N21)))</formula>
    </cfRule>
    <cfRule type="containsText" dxfId="702" priority="17" operator="containsText" text="T2">
      <formula>NOT(ISERROR(SEARCH("T2",N21)))</formula>
    </cfRule>
    <cfRule type="containsText" dxfId="701" priority="18" operator="containsText" text="T1">
      <formula>NOT(ISERROR(SEARCH("T1",N21)))</formula>
    </cfRule>
  </conditionalFormatting>
  <conditionalFormatting sqref="N24">
    <cfRule type="containsText" dxfId="700" priority="13" operator="containsText" text="T3">
      <formula>NOT(ISERROR(SEARCH("T3",N24)))</formula>
    </cfRule>
    <cfRule type="containsText" dxfId="699" priority="14" operator="containsText" text="T2">
      <formula>NOT(ISERROR(SEARCH("T2",N24)))</formula>
    </cfRule>
    <cfRule type="containsText" dxfId="698" priority="15" operator="containsText" text="T1">
      <formula>NOT(ISERROR(SEARCH("T1",N24)))</formula>
    </cfRule>
  </conditionalFormatting>
  <conditionalFormatting sqref="N25">
    <cfRule type="containsText" dxfId="697" priority="10" operator="containsText" text="T3">
      <formula>NOT(ISERROR(SEARCH("T3",N25)))</formula>
    </cfRule>
    <cfRule type="containsText" dxfId="696" priority="11" operator="containsText" text="T2">
      <formula>NOT(ISERROR(SEARCH("T2",N25)))</formula>
    </cfRule>
    <cfRule type="containsText" dxfId="695" priority="12" operator="containsText" text="T1">
      <formula>NOT(ISERROR(SEARCH("T1",N25)))</formula>
    </cfRule>
  </conditionalFormatting>
  <conditionalFormatting sqref="AA22">
    <cfRule type="containsText" dxfId="694" priority="9" operator="containsText" text="E1">
      <formula>NOT(ISERROR(SEARCH("E1",AA22)))</formula>
    </cfRule>
  </conditionalFormatting>
  <conditionalFormatting sqref="AA23">
    <cfRule type="containsText" dxfId="693" priority="8" operator="containsText" text="E2">
      <formula>NOT(ISERROR(SEARCH("E2",AA23)))</formula>
    </cfRule>
  </conditionalFormatting>
  <conditionalFormatting sqref="AA24">
    <cfRule type="containsText" dxfId="692" priority="7" operator="containsText" text="E3">
      <formula>NOT(ISERROR(SEARCH("E3",AA24)))</formula>
    </cfRule>
  </conditionalFormatting>
  <dataValidations count="1">
    <dataValidation type="list" allowBlank="1" showInputMessage="1" showErrorMessage="1" sqref="N21 N24 N25" xr:uid="{763B6BDD-AF82-4D44-878C-BADF0365593A}">
      <formula1>$AI$15:$AI$17</formula1>
    </dataValidation>
  </dataValidations>
  <pageMargins left="0.51181102362204722" right="0.51181102362204722" top="0.78740157480314965" bottom="0.78740157480314965" header="0.31496062992125984" footer="0.31496062992125984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BE079A-0007-44BC-A3F1-D278ABC463F5}">
          <x14:formula1>
            <xm:f>Configuração!$L$7:$L$22</xm:f>
          </x14:formula1>
          <xm:sqref>A9:A18 T21:T25 W21:W23 W24 W25</xm:sqref>
        </x14:dataValidation>
        <x14:dataValidation type="list" allowBlank="1" showInputMessage="1" showErrorMessage="1" xr:uid="{65F5E869-DC19-4302-8E3F-2C410EDB8955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206FBA41-A655-4F25-A22B-EA5119BEF0CF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FE9DB78D-F78E-49AD-AF7B-EE607256BDEB}">
          <x14:formula1>
            <xm:f>Configuração!$E$20:$E$24</xm:f>
          </x14:formula1>
          <xm:sqref>AA22:AA24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B142D-EE95-468D-A47C-DA01B35841A0}">
  <sheetPr codeName="Planilha1">
    <tabColor rgb="FFC09200"/>
  </sheetPr>
  <dimension ref="A1:DI203"/>
  <sheetViews>
    <sheetView zoomScale="80" zoomScaleNormal="80" workbookViewId="0">
      <selection activeCell="C13" sqref="C13:D13"/>
    </sheetView>
  </sheetViews>
  <sheetFormatPr defaultColWidth="10" defaultRowHeight="15" x14ac:dyDescent="0.25"/>
  <cols>
    <col min="1" max="1" width="10.85546875" style="1" bestFit="1" customWidth="1"/>
    <col min="2" max="2" width="9" style="1" bestFit="1" customWidth="1"/>
    <col min="3" max="3" width="7.140625" style="1" bestFit="1" customWidth="1"/>
    <col min="4" max="4" width="6" style="1" customWidth="1"/>
    <col min="5" max="5" width="4.85546875" style="1" customWidth="1"/>
    <col min="6" max="6" width="4.42578125" style="1" bestFit="1" customWidth="1"/>
    <col min="7" max="7" width="5.42578125" style="1" bestFit="1" customWidth="1"/>
    <col min="8" max="8" width="4.7109375" style="1" bestFit="1" customWidth="1"/>
    <col min="9" max="9" width="4.42578125" style="1" bestFit="1" customWidth="1"/>
    <col min="10" max="10" width="4.85546875" style="1" bestFit="1" customWidth="1"/>
    <col min="11" max="11" width="8.85546875" style="1" bestFit="1" customWidth="1"/>
    <col min="12" max="12" width="17.7109375" style="1" bestFit="1" customWidth="1"/>
    <col min="13" max="13" width="8.7109375" style="1" hidden="1" customWidth="1"/>
    <col min="14" max="14" width="11.5703125" style="1" bestFit="1" customWidth="1"/>
    <col min="15" max="20" width="5" style="1" bestFit="1" customWidth="1"/>
    <col min="21" max="21" width="5.42578125" style="1" bestFit="1" customWidth="1"/>
    <col min="22" max="26" width="5" style="1" bestFit="1" customWidth="1"/>
    <col min="27" max="27" width="35.7109375" style="1" customWidth="1"/>
    <col min="28" max="28" width="5.42578125" style="1" bestFit="1" customWidth="1"/>
    <col min="29" max="29" width="5" style="1" bestFit="1" customWidth="1"/>
    <col min="30" max="16384" width="10" style="1"/>
  </cols>
  <sheetData>
    <row r="1" spans="1:63" ht="69" customHeight="1" x14ac:dyDescent="0.25">
      <c r="A1" s="7"/>
      <c r="B1" s="8"/>
      <c r="C1" s="9"/>
      <c r="D1" s="9"/>
      <c r="E1" s="9"/>
      <c r="F1" s="9"/>
      <c r="G1" s="9"/>
      <c r="H1" s="10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139" t="e" vm="1">
        <v>#VALUE!</v>
      </c>
      <c r="AB1" s="9"/>
      <c r="AC1" s="9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3" ht="75" customHeight="1" x14ac:dyDescent="0.25">
      <c r="A2" s="11"/>
      <c r="B2" s="4"/>
      <c r="C2" s="4"/>
      <c r="D2" s="4"/>
      <c r="E2" s="4"/>
      <c r="F2" s="4"/>
      <c r="G2" s="4"/>
      <c r="H2" s="12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140"/>
      <c r="AB2" s="4"/>
      <c r="AC2" s="4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</row>
    <row r="3" spans="1:63" x14ac:dyDescent="0.25"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 ht="15.75" thickBot="1" x14ac:dyDescent="0.3"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 ht="16.5" thickBot="1" x14ac:dyDescent="0.3">
      <c r="C5" s="136" t="s">
        <v>39</v>
      </c>
      <c r="D5" s="137"/>
      <c r="E5" s="137"/>
      <c r="F5" s="137"/>
      <c r="G5" s="138"/>
      <c r="K5" s="136"/>
      <c r="L5" s="137"/>
      <c r="M5" s="137"/>
      <c r="N5" s="138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63" ht="15.75" thickBot="1" x14ac:dyDescent="0.3">
      <c r="C6" s="154" t="s">
        <v>40</v>
      </c>
      <c r="D6" s="155"/>
      <c r="E6" s="154" t="s">
        <v>41</v>
      </c>
      <c r="F6" s="156"/>
      <c r="G6" s="155"/>
      <c r="K6" s="23" t="s">
        <v>15</v>
      </c>
      <c r="L6" s="14" t="s">
        <v>42</v>
      </c>
      <c r="M6" s="23" t="s">
        <v>17</v>
      </c>
      <c r="N6" s="23" t="s">
        <v>43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1:63" x14ac:dyDescent="0.25">
      <c r="B7" s="37" t="s">
        <v>11</v>
      </c>
      <c r="C7" s="157"/>
      <c r="D7" s="158"/>
      <c r="E7" s="157"/>
      <c r="F7" s="159"/>
      <c r="G7" s="158"/>
      <c r="K7" s="2" t="s">
        <v>44</v>
      </c>
      <c r="L7" s="32" t="s">
        <v>11</v>
      </c>
      <c r="M7" s="32" t="e" cm="1">
        <f t="array" ref="M7">ContarFerias(Escala!$B$9:$AF$9,#REF!)</f>
        <v>#VALUE!</v>
      </c>
      <c r="N7" s="25" t="s">
        <v>20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1:63" x14ac:dyDescent="0.25">
      <c r="B8" s="2" t="s">
        <v>7</v>
      </c>
      <c r="C8" s="146">
        <v>45566</v>
      </c>
      <c r="D8" s="151"/>
      <c r="E8" s="148">
        <v>45585</v>
      </c>
      <c r="F8" s="149"/>
      <c r="G8" s="150"/>
      <c r="K8" s="2"/>
      <c r="L8" s="32" t="s">
        <v>7</v>
      </c>
      <c r="M8" s="32" t="e" cm="1">
        <f t="array" ref="M8">ContarFerias(Escala!#REF!)</f>
        <v>#VALUE!</v>
      </c>
      <c r="N8" s="25" t="s">
        <v>45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 x14ac:dyDescent="0.25">
      <c r="B9" s="2" t="s">
        <v>12</v>
      </c>
      <c r="C9" s="146"/>
      <c r="D9" s="151"/>
      <c r="E9" s="148"/>
      <c r="F9" s="149"/>
      <c r="G9" s="150"/>
      <c r="K9" s="2"/>
      <c r="L9" s="32" t="s">
        <v>12</v>
      </c>
      <c r="M9" s="32" t="e" cm="1">
        <f t="array" ref="M9">ContarFerias(Escala!#REF!)</f>
        <v>#VALUE!</v>
      </c>
      <c r="N9" s="25" t="s">
        <v>31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x14ac:dyDescent="0.25">
      <c r="B10" s="2" t="s">
        <v>9</v>
      </c>
      <c r="C10" s="146"/>
      <c r="D10" s="147"/>
      <c r="E10" s="148"/>
      <c r="F10" s="149"/>
      <c r="G10" s="150"/>
      <c r="K10" s="2"/>
      <c r="L10" s="32" t="s">
        <v>9</v>
      </c>
      <c r="M10" s="32" t="e" cm="1">
        <f t="array" ref="M10">ContarFerias(Escala!#REF!)</f>
        <v>#VALUE!</v>
      </c>
      <c r="N10" s="25" t="s">
        <v>34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 x14ac:dyDescent="0.25">
      <c r="B11" s="2" t="s">
        <v>8</v>
      </c>
      <c r="C11" s="152"/>
      <c r="D11" s="147"/>
      <c r="E11" s="153"/>
      <c r="F11" s="149"/>
      <c r="G11" s="150"/>
      <c r="K11" s="2"/>
      <c r="L11" s="32" t="s">
        <v>8</v>
      </c>
      <c r="M11" s="32" t="e" cm="1">
        <f t="array" ref="M11">ContarFerias(Escala!#REF!)</f>
        <v>#VALUE!</v>
      </c>
      <c r="N11" s="25" t="s">
        <v>37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 x14ac:dyDescent="0.25">
      <c r="B12" s="2" t="s">
        <v>14</v>
      </c>
      <c r="C12" s="152"/>
      <c r="D12" s="147"/>
      <c r="E12" s="153"/>
      <c r="F12" s="149"/>
      <c r="G12" s="150"/>
      <c r="K12" s="2"/>
      <c r="L12" s="32" t="s">
        <v>14</v>
      </c>
      <c r="M12" s="32" t="e" cm="1">
        <f t="array" ref="M12">ContarFerias(Escala!#REF!)</f>
        <v>#VALUE!</v>
      </c>
      <c r="N12" s="25" t="s">
        <v>25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 x14ac:dyDescent="0.25">
      <c r="B13" s="2" t="s">
        <v>6</v>
      </c>
      <c r="C13" s="146">
        <v>45635</v>
      </c>
      <c r="D13" s="147"/>
      <c r="E13" s="148">
        <v>45664</v>
      </c>
      <c r="F13" s="149"/>
      <c r="G13" s="150"/>
      <c r="K13" s="2"/>
      <c r="L13" s="32" t="s">
        <v>6</v>
      </c>
      <c r="M13" s="32" t="e" cm="1">
        <f t="array" ref="M13">ContarFerias(Escala!#REF!)</f>
        <v>#VALUE!</v>
      </c>
      <c r="N13" s="25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 ht="15" customHeight="1" x14ac:dyDescent="0.25">
      <c r="B14" s="2" t="s">
        <v>5</v>
      </c>
      <c r="C14" s="146"/>
      <c r="D14" s="151"/>
      <c r="E14" s="148"/>
      <c r="F14" s="149"/>
      <c r="G14" s="150"/>
      <c r="K14" s="2"/>
      <c r="L14" s="32" t="s">
        <v>5</v>
      </c>
      <c r="M14" s="32" t="e" cm="1">
        <f t="array" ref="M14">ContarFerias(Escala!#REF!)</f>
        <v>#VALUE!</v>
      </c>
      <c r="N14" s="25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 ht="16.5" customHeight="1" x14ac:dyDescent="0.25">
      <c r="B15" s="2" t="s">
        <v>4</v>
      </c>
      <c r="C15" s="146">
        <v>45600</v>
      </c>
      <c r="D15" s="147"/>
      <c r="E15" s="148">
        <v>45629</v>
      </c>
      <c r="F15" s="149"/>
      <c r="G15" s="150"/>
      <c r="K15" s="2"/>
      <c r="L15" s="32" t="s">
        <v>4</v>
      </c>
      <c r="M15" s="32" t="e" cm="1">
        <f t="array" ref="M15">ContarFerias(Escala!#REF!)</f>
        <v>#VALUE!</v>
      </c>
      <c r="N15" s="2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 ht="15.75" thickBot="1" x14ac:dyDescent="0.3">
      <c r="B16" s="18" t="s">
        <v>2</v>
      </c>
      <c r="C16" s="141"/>
      <c r="D16" s="142"/>
      <c r="E16" s="143"/>
      <c r="F16" s="144"/>
      <c r="G16" s="145"/>
      <c r="K16" s="2"/>
      <c r="L16" s="32" t="s">
        <v>2</v>
      </c>
      <c r="M16" s="32" t="e" cm="1">
        <f t="array" ref="M16">ContarFerias(Escala!#REF!)</f>
        <v>#VALUE!</v>
      </c>
      <c r="N16" s="25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113" ht="15.75" thickBot="1" x14ac:dyDescent="0.3">
      <c r="K17" s="2"/>
      <c r="L17" s="32"/>
      <c r="N17" s="25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113" ht="16.5" thickBot="1" x14ac:dyDescent="0.3">
      <c r="B18" s="136" t="s">
        <v>46</v>
      </c>
      <c r="C18" s="137"/>
      <c r="D18" s="138"/>
      <c r="K18" s="2"/>
      <c r="L18" s="32"/>
      <c r="N18" s="25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113" x14ac:dyDescent="0.25">
      <c r="B19" s="62" t="s">
        <v>29</v>
      </c>
      <c r="C19" s="63"/>
      <c r="D19" s="43" t="s">
        <v>47</v>
      </c>
      <c r="K19" s="2"/>
      <c r="L19" s="32"/>
      <c r="N19" s="25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113" ht="15.75" thickBot="1" x14ac:dyDescent="0.3">
      <c r="A20" s="2"/>
      <c r="B20" s="64" t="s">
        <v>30</v>
      </c>
      <c r="C20"/>
      <c r="D20" s="86" t="s">
        <v>3</v>
      </c>
      <c r="K20" s="2"/>
      <c r="L20" s="32"/>
      <c r="N20" s="25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113" ht="15.75" thickBot="1" x14ac:dyDescent="0.3">
      <c r="A21" s="2"/>
      <c r="B21" s="34"/>
      <c r="C21" s="35"/>
      <c r="D21" s="86" t="s">
        <v>10</v>
      </c>
      <c r="K21" s="2"/>
      <c r="L21" s="32"/>
      <c r="N21" s="25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113" ht="15.75" thickBot="1" x14ac:dyDescent="0.3">
      <c r="D22" s="86" t="s">
        <v>13</v>
      </c>
      <c r="K22" s="18"/>
      <c r="L22" s="41"/>
      <c r="M22" s="26"/>
      <c r="N22" s="27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113" ht="15.75" thickBot="1" x14ac:dyDescent="0.3">
      <c r="D23" s="86" t="s">
        <v>24</v>
      </c>
      <c r="K23" s="34"/>
      <c r="L23" s="40"/>
      <c r="M23" s="35"/>
      <c r="N23" s="36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113" ht="15.75" thickBot="1" x14ac:dyDescent="0.3">
      <c r="D24" s="67" t="s">
        <v>18</v>
      </c>
      <c r="K24" s="37"/>
      <c r="L24" s="31"/>
      <c r="M24" s="38"/>
      <c r="N24" s="39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113" ht="15.75" thickBot="1" x14ac:dyDescent="0.3">
      <c r="D25" s="82"/>
      <c r="K25" s="2"/>
      <c r="N25" s="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113" x14ac:dyDescent="0.25">
      <c r="D26" s="86" t="s">
        <v>26</v>
      </c>
      <c r="K26" s="2"/>
      <c r="N26" s="25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113" ht="15.75" thickBot="1" x14ac:dyDescent="0.3">
      <c r="D27" s="86" t="s">
        <v>32</v>
      </c>
      <c r="K27" s="18"/>
      <c r="L27" s="26"/>
      <c r="M27" s="26"/>
      <c r="N27" s="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113" ht="15.75" thickBot="1" x14ac:dyDescent="0.3">
      <c r="D28" s="87" t="s">
        <v>35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113" x14ac:dyDescent="0.25"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 x14ac:dyDescent="0.25"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 x14ac:dyDescent="0.25"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 x14ac:dyDescent="0.25"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30:113" x14ac:dyDescent="0.25"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30:113" x14ac:dyDescent="0.25"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30:113" x14ac:dyDescent="0.25"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</row>
    <row r="36" spans="30:113" x14ac:dyDescent="0.25"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</row>
    <row r="37" spans="30:113" x14ac:dyDescent="0.25"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</row>
    <row r="38" spans="30:113" x14ac:dyDescent="0.25"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</row>
    <row r="39" spans="30:113" x14ac:dyDescent="0.25"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</row>
    <row r="40" spans="30:113" x14ac:dyDescent="0.25"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</row>
    <row r="41" spans="30:113" x14ac:dyDescent="0.25"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</row>
    <row r="42" spans="30:113" x14ac:dyDescent="0.25"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</row>
    <row r="43" spans="30:113" x14ac:dyDescent="0.25"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</row>
    <row r="44" spans="30:113" x14ac:dyDescent="0.25"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</row>
    <row r="45" spans="30:113" x14ac:dyDescent="0.25"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</row>
    <row r="46" spans="30:113" x14ac:dyDescent="0.25"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</row>
    <row r="47" spans="30:113" x14ac:dyDescent="0.25"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</row>
    <row r="48" spans="30:113" x14ac:dyDescent="0.25"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</row>
    <row r="49" spans="1:113" x14ac:dyDescent="0.25"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</row>
    <row r="50" spans="1:113" x14ac:dyDescent="0.25"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</row>
    <row r="51" spans="1:113" x14ac:dyDescent="0.25"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</row>
    <row r="52" spans="1:113" x14ac:dyDescent="0.25"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</row>
    <row r="53" spans="1:113" x14ac:dyDescent="0.25"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</row>
    <row r="54" spans="1:113" x14ac:dyDescent="0.25"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</row>
    <row r="55" spans="1:113" x14ac:dyDescent="0.25"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</row>
    <row r="56" spans="1:113" x14ac:dyDescent="0.25"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</row>
    <row r="57" spans="1:113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</row>
    <row r="58" spans="1:113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</row>
    <row r="59" spans="1:113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</row>
    <row r="60" spans="1:113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</row>
    <row r="61" spans="1:113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</row>
    <row r="62" spans="1:113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</row>
    <row r="63" spans="1:113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</row>
    <row r="64" spans="1:113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</row>
    <row r="65" spans="1:113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</row>
    <row r="66" spans="1:113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</row>
    <row r="67" spans="1:113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</row>
    <row r="68" spans="1:113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</row>
    <row r="69" spans="1:113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</row>
    <row r="70" spans="1:113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</row>
    <row r="71" spans="1:113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</row>
    <row r="72" spans="1:113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</row>
    <row r="73" spans="1:113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</row>
    <row r="74" spans="1:113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</row>
    <row r="75" spans="1:113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</row>
    <row r="76" spans="1:113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</row>
    <row r="77" spans="1:113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</row>
    <row r="78" spans="1:113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</row>
    <row r="79" spans="1:113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</row>
    <row r="80" spans="1:113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</row>
    <row r="81" spans="1:113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</row>
    <row r="82" spans="1:113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</row>
    <row r="83" spans="1:113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</row>
    <row r="84" spans="1:113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</row>
    <row r="85" spans="1:113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</row>
    <row r="86" spans="1:113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</row>
    <row r="87" spans="1:113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</row>
    <row r="88" spans="1:113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</row>
    <row r="89" spans="1:113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</row>
    <row r="90" spans="1:113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</row>
    <row r="91" spans="1:113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</row>
    <row r="92" spans="1:113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</row>
    <row r="93" spans="1:113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</row>
    <row r="94" spans="1:113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</row>
    <row r="95" spans="1:113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</row>
    <row r="96" spans="1:113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</row>
    <row r="97" spans="1:113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</row>
    <row r="98" spans="1:113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</row>
    <row r="99" spans="1:113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</row>
    <row r="100" spans="1:113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</row>
    <row r="101" spans="1:113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</row>
    <row r="102" spans="1:113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</row>
    <row r="103" spans="1:113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</row>
    <row r="104" spans="1:113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</row>
    <row r="105" spans="1:113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</row>
    <row r="106" spans="1:113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</row>
    <row r="107" spans="1:113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</row>
    <row r="108" spans="1:113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</row>
    <row r="109" spans="1:113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</row>
    <row r="110" spans="1:113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</row>
    <row r="111" spans="1:113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</row>
    <row r="112" spans="1:113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</row>
    <row r="113" spans="1:113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</row>
    <row r="114" spans="1:113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</row>
    <row r="115" spans="1:113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</row>
    <row r="116" spans="1:113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</row>
    <row r="117" spans="1:113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</row>
    <row r="118" spans="1:113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</row>
    <row r="119" spans="1:113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</row>
    <row r="120" spans="1:113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</row>
    <row r="121" spans="1:113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</row>
    <row r="122" spans="1:113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</row>
    <row r="123" spans="1:113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</row>
    <row r="124" spans="1:113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</row>
    <row r="125" spans="1:113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</row>
    <row r="126" spans="1:113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</row>
    <row r="127" spans="1:113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</row>
    <row r="128" spans="1:113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</row>
    <row r="129" spans="1:113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</row>
    <row r="130" spans="1:113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</row>
    <row r="131" spans="1:113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</row>
    <row r="132" spans="1:113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</row>
    <row r="133" spans="1:113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</row>
    <row r="134" spans="1:113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</row>
    <row r="135" spans="1:113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</row>
    <row r="136" spans="1:113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</row>
    <row r="137" spans="1:113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</row>
    <row r="138" spans="1:113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</row>
    <row r="139" spans="1:113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</row>
    <row r="140" spans="1:113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</row>
    <row r="141" spans="1:113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</row>
    <row r="142" spans="1:113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</row>
    <row r="143" spans="1:113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</row>
    <row r="144" spans="1:113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</row>
    <row r="145" spans="1:113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</row>
    <row r="146" spans="1:113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</row>
    <row r="147" spans="1:113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</row>
    <row r="148" spans="1:113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</row>
    <row r="149" spans="1:113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</row>
    <row r="150" spans="1:113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</row>
    <row r="151" spans="1:113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</row>
    <row r="152" spans="1:113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</row>
    <row r="153" spans="1:113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</row>
    <row r="154" spans="1:113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</row>
    <row r="155" spans="1:113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</row>
    <row r="156" spans="1:113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</row>
    <row r="157" spans="1:113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</row>
    <row r="158" spans="1:113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</row>
    <row r="159" spans="1:113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</row>
    <row r="160" spans="1:113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</row>
    <row r="161" spans="1:113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</row>
    <row r="162" spans="1:113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</row>
    <row r="163" spans="1:113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</row>
    <row r="164" spans="1:113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</row>
    <row r="165" spans="1:113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</row>
    <row r="166" spans="1:113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</row>
    <row r="167" spans="1:113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</row>
    <row r="168" spans="1:113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</row>
    <row r="169" spans="1:113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</row>
    <row r="170" spans="1:113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</row>
    <row r="171" spans="1:113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</row>
    <row r="172" spans="1:113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</row>
    <row r="173" spans="1:113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</row>
    <row r="174" spans="1:113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</row>
    <row r="175" spans="1:113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</row>
    <row r="176" spans="1:113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</row>
    <row r="177" spans="1:113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</row>
    <row r="178" spans="1:113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</row>
    <row r="179" spans="1:113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</row>
    <row r="180" spans="1:113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</row>
    <row r="181" spans="1:113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</row>
    <row r="182" spans="1:113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</row>
    <row r="183" spans="1:113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</row>
    <row r="184" spans="1:113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</row>
    <row r="185" spans="1:113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</row>
    <row r="186" spans="1:113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</row>
    <row r="187" spans="1:113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</row>
    <row r="188" spans="1:113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</row>
    <row r="189" spans="1:113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</row>
    <row r="190" spans="1:113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</row>
    <row r="191" spans="1:113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</row>
    <row r="192" spans="1:113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</row>
    <row r="193" spans="1:113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</row>
    <row r="194" spans="1:113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</row>
    <row r="195" spans="1:113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</row>
    <row r="196" spans="1:113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</row>
    <row r="197" spans="1:113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</row>
    <row r="198" spans="1:113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</row>
    <row r="199" spans="1:113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</row>
    <row r="200" spans="1:113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</row>
    <row r="201" spans="1:113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</row>
    <row r="202" spans="1:113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</row>
    <row r="203" spans="1:113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</row>
  </sheetData>
  <sheetProtection formatCells="0" formatColumns="0" formatRows="0" insertColumns="0" insertRows="0" insertHyperlinks="0" deleteColumns="0" deleteRows="0" sort="0" autoFilter="0" pivotTables="0"/>
  <mergeCells count="26">
    <mergeCell ref="E12:G12"/>
    <mergeCell ref="C5:G5"/>
    <mergeCell ref="C6:D6"/>
    <mergeCell ref="E6:G6"/>
    <mergeCell ref="C7:D7"/>
    <mergeCell ref="E7:G7"/>
    <mergeCell ref="C8:D8"/>
    <mergeCell ref="E8:G8"/>
    <mergeCell ref="C9:D9"/>
    <mergeCell ref="E9:G9"/>
    <mergeCell ref="B18:D18"/>
    <mergeCell ref="AA1:AA2"/>
    <mergeCell ref="K5:N5"/>
    <mergeCell ref="C16:D16"/>
    <mergeCell ref="E16:G16"/>
    <mergeCell ref="C13:D13"/>
    <mergeCell ref="E13:G13"/>
    <mergeCell ref="C14:D14"/>
    <mergeCell ref="E14:G14"/>
    <mergeCell ref="C15:D15"/>
    <mergeCell ref="E15:G15"/>
    <mergeCell ref="C10:D10"/>
    <mergeCell ref="E10:G10"/>
    <mergeCell ref="C11:D11"/>
    <mergeCell ref="E11:G11"/>
    <mergeCell ref="C12:D12"/>
  </mergeCells>
  <phoneticPr fontId="5" type="noConversion"/>
  <conditionalFormatting sqref="D20:D24">
    <cfRule type="expression" dxfId="691" priority="1">
      <formula>INDIRECT(_xludf.CELL("address"))="$AL$10:$AL$19"</formula>
    </cfRule>
  </conditionalFormatting>
  <dataValidations count="6">
    <dataValidation type="list" allowBlank="1" showInputMessage="1" showErrorMessage="1" sqref="L7" xr:uid="{AAE5A2B0-9807-465A-A65F-4D50883F6936}">
      <formula1>"Danilo;Luciano;Henrique;Eduardo;Renato;Rafael;Gustavo;Roberta;Paulo;Caio;"</formula1>
    </dataValidation>
    <dataValidation type="list" allowBlank="1" showInputMessage="1" showErrorMessage="1" sqref="D20" xr:uid="{1654A342-6914-4B5C-91D1-64C251280872}">
      <formula1>"T1,T2,T3,DO,VA,"</formula1>
    </dataValidation>
    <dataValidation type="list" allowBlank="1" showInputMessage="1" showErrorMessage="1" sqref="K17:K18" xr:uid="{89CB6281-2A44-4FFD-B629-56396D264ABE}">
      <formula1>K17:K148</formula1>
    </dataValidation>
    <dataValidation type="list" allowBlank="1" showInputMessage="1" showErrorMessage="1" sqref="L9:L16" xr:uid="{E0F36AA5-B68A-4973-8CAD-B887319749A0}">
      <formula1>L9:L135</formula1>
    </dataValidation>
    <dataValidation type="list" allowBlank="1" showInputMessage="1" showErrorMessage="1" sqref="B7:B16" xr:uid="{5B659802-F88C-4A4D-A602-5176928A9280}">
      <formula1>#REF!</formula1>
    </dataValidation>
    <dataValidation type="list" allowBlank="1" showInputMessage="1" showErrorMessage="1" sqref="N7" xr:uid="{BFCFEBEB-26A9-46BC-8E84-74B97C52671E}">
      <formula1>"06:00/15:00;08:00/17:00;10:00/19:00;13:00/22:00;21:30/06:30;08:30/17:30;"</formula1>
    </dataValidation>
  </dataValidations>
  <pageMargins left="0.51181102362204722" right="0.51181102362204722" top="0.78740157480314965" bottom="0.78740157480314965" header="0.31496062992125984" footer="0.31496062992125984"/>
  <pageSetup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EEFB62-879D-4E24-B924-0E1BF74753FF}">
          <x14:formula1>
            <xm:f>Escala!$AI$15:$AI$17</xm:f>
          </x14:formula1>
          <xm:sqref>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1B91F-680C-41AA-8ED2-A1ACE8B5996D}">
  <sheetPr codeName="Planilha3">
    <tabColor theme="2" tint="-0.499984740745262"/>
  </sheetPr>
  <dimension ref="A1:AZ64"/>
  <sheetViews>
    <sheetView zoomScale="80" zoomScaleNormal="80" workbookViewId="0">
      <selection activeCell="P6" sqref="P6"/>
    </sheetView>
  </sheetViews>
  <sheetFormatPr defaultColWidth="9.140625" defaultRowHeight="15" x14ac:dyDescent="0.25"/>
  <cols>
    <col min="1" max="1" width="9.140625" style="1"/>
    <col min="2" max="2" width="12.7109375" style="1" bestFit="1" customWidth="1"/>
    <col min="3" max="3" width="9.5703125" style="1" customWidth="1"/>
    <col min="4" max="4" width="3" style="1" customWidth="1"/>
    <col min="5" max="5" width="2.85546875" style="1" customWidth="1"/>
    <col min="6" max="6" width="8.140625" style="1" customWidth="1"/>
    <col min="7" max="7" width="14.28515625" style="1" customWidth="1"/>
    <col min="8" max="8" width="3.28515625" style="1" customWidth="1"/>
    <col min="9" max="9" width="3.140625" style="1" customWidth="1"/>
    <col min="10" max="10" width="10.28515625" style="1" customWidth="1"/>
    <col min="11" max="11" width="12" style="1" customWidth="1"/>
    <col min="12" max="13" width="3.7109375" style="1" customWidth="1"/>
    <col min="14" max="14" width="21" style="1" customWidth="1"/>
    <col min="15" max="15" width="16.7109375" style="1" customWidth="1"/>
    <col min="16" max="16" width="12.140625" style="1" bestFit="1" customWidth="1"/>
    <col min="17" max="17" width="3.140625" style="1" bestFit="1" customWidth="1"/>
    <col min="18" max="21" width="3.28515625" style="1" bestFit="1" customWidth="1"/>
    <col min="22" max="46" width="3" style="1" bestFit="1" customWidth="1"/>
    <col min="47" max="47" width="2.28515625" style="1" bestFit="1" customWidth="1"/>
    <col min="48" max="48" width="12" style="1" bestFit="1" customWidth="1"/>
    <col min="49" max="49" width="10" style="1" bestFit="1" customWidth="1"/>
    <col min="50" max="50" width="7.140625" style="1" bestFit="1" customWidth="1"/>
    <col min="51" max="51" width="20.7109375" style="1" customWidth="1"/>
    <col min="52" max="16384" width="9.140625" style="1"/>
  </cols>
  <sheetData>
    <row r="1" spans="1:51" customFormat="1" ht="34.5" x14ac:dyDescent="0.25">
      <c r="A1" s="5"/>
      <c r="B1" s="3"/>
      <c r="C1" s="4"/>
      <c r="D1" s="4"/>
      <c r="E1" s="4"/>
      <c r="F1" s="4"/>
      <c r="G1" s="4"/>
      <c r="H1" s="5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customFormat="1" ht="62.25" customHeight="1" x14ac:dyDescent="0.25">
      <c r="A2" s="5"/>
      <c r="B2" s="4"/>
      <c r="C2" s="4"/>
      <c r="D2" s="4"/>
      <c r="E2" s="4"/>
      <c r="F2" s="4"/>
      <c r="G2" s="4"/>
      <c r="H2" s="5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</row>
    <row r="3" spans="1:5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ht="15.75" thickBot="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ht="15.75" thickBot="1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 s="67" t="s">
        <v>48</v>
      </c>
      <c r="Q5" s="160" t="s">
        <v>49</v>
      </c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1"/>
      <c r="AV5" s="43" t="s">
        <v>50</v>
      </c>
      <c r="AW5" s="71" t="s">
        <v>51</v>
      </c>
      <c r="AX5" s="43" t="s">
        <v>52</v>
      </c>
      <c r="AY5" s="74" t="s">
        <v>53</v>
      </c>
    </row>
    <row r="6" spans="1:51" ht="16.5" thickBot="1" x14ac:dyDescent="0.3">
      <c r="A6"/>
      <c r="B6" s="136" t="s">
        <v>1</v>
      </c>
      <c r="C6" s="137"/>
      <c r="D6"/>
      <c r="E6"/>
      <c r="F6" s="136" t="s">
        <v>54</v>
      </c>
      <c r="G6" s="137"/>
      <c r="H6"/>
      <c r="I6"/>
      <c r="J6" s="136" t="s">
        <v>55</v>
      </c>
      <c r="K6" s="137"/>
      <c r="L6"/>
      <c r="M6"/>
      <c r="N6" s="66" t="s">
        <v>56</v>
      </c>
      <c r="O6" s="42"/>
      <c r="P6" s="78" t="s">
        <v>57</v>
      </c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75"/>
      <c r="AW6" s="63"/>
      <c r="AX6" s="76"/>
      <c r="AY6" s="73"/>
    </row>
    <row r="7" spans="1:51" ht="15" customHeight="1" thickBot="1" x14ac:dyDescent="0.3">
      <c r="A7"/>
      <c r="B7" s="162">
        <f>COUNTA(Configuração!L7:L22)</f>
        <v>10</v>
      </c>
      <c r="C7" s="163"/>
      <c r="D7"/>
      <c r="E7"/>
      <c r="F7" s="162">
        <f>SUM(AY7:AY16)</f>
        <v>0</v>
      </c>
      <c r="G7" s="163"/>
      <c r="H7"/>
      <c r="I7"/>
      <c r="J7" s="162">
        <f>COUNTA(Escala!O21:O25)</f>
        <v>3</v>
      </c>
      <c r="K7" s="163"/>
      <c r="L7"/>
      <c r="M7"/>
      <c r="N7" s="166">
        <f>SUM(AZ17)</f>
        <v>0</v>
      </c>
      <c r="O7" s="42"/>
      <c r="P7" s="70" t="e">
        <f>IF(P6="Janeiro",Janeiro!$A$9:$AF$19,IF(P6="Fevereiro",Fevereiro!A9:AF19,IF(P6="Março",Março!A9:AF19,IF(P6="Abril",Abril!A9:AF19,IF(P6="Maio",Maio!A9:AF19,IF(P6="Junho",Junho!A9:AF19,IF(P6="Julho",Julho!A9:AF19,IF(P6="Agosto",Agosto!A9:AF19,IF(P6="Setembro",Setembro!A9:AF19,IF(P6="Outubro",Outubro!A9:AF19,IF(P6="Novembro",Novembro!A9:AF19,IF(P6="Dezembro",Dezembro!A9:AF19))))))))))))</f>
        <v>#VALUE!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30" cm="1">
        <f t="array" ref="AV7">ContarTurnos(Q7:AU7)</f>
        <v>0</v>
      </c>
      <c r="AW7" s="30">
        <f>COUNTA(Q7:AU7)</f>
        <v>0</v>
      </c>
      <c r="AX7" s="30">
        <f>AW7-AV7</f>
        <v>0</v>
      </c>
      <c r="AY7" s="77" cm="1">
        <f t="array" ref="AY7">ContarFerias(Q7:AU7)</f>
        <v>0</v>
      </c>
    </row>
    <row r="8" spans="1:51" ht="15" customHeight="1" thickBot="1" x14ac:dyDescent="0.3">
      <c r="A8"/>
      <c r="B8" s="162"/>
      <c r="C8" s="163"/>
      <c r="D8"/>
      <c r="E8"/>
      <c r="F8" s="162"/>
      <c r="G8" s="163"/>
      <c r="H8"/>
      <c r="I8"/>
      <c r="J8" s="162"/>
      <c r="K8" s="163"/>
      <c r="L8"/>
      <c r="M8"/>
      <c r="N8" s="166"/>
      <c r="O8" s="42"/>
      <c r="P8" s="68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72" cm="1">
        <f t="array" ref="AV8">ContarTurnos(Q8:AU8)</f>
        <v>0</v>
      </c>
      <c r="AW8" s="24">
        <f t="shared" ref="AW8:AW16" si="0">COUNTA(Q8:AU8)</f>
        <v>0</v>
      </c>
      <c r="AX8" s="24">
        <f t="shared" ref="AX8:AX16" si="1">AW8-AV8</f>
        <v>0</v>
      </c>
      <c r="AY8" s="28" cm="1">
        <f t="array" ref="AY8">ContarFerias(Q8:AU8)</f>
        <v>0</v>
      </c>
    </row>
    <row r="9" spans="1:51" ht="15" customHeight="1" thickBot="1" x14ac:dyDescent="0.3">
      <c r="A9"/>
      <c r="B9" s="162"/>
      <c r="C9" s="163"/>
      <c r="D9"/>
      <c r="E9"/>
      <c r="F9" s="162"/>
      <c r="G9" s="163"/>
      <c r="H9"/>
      <c r="I9"/>
      <c r="J9" s="162"/>
      <c r="K9" s="163"/>
      <c r="L9"/>
      <c r="M9"/>
      <c r="N9" s="166"/>
      <c r="O9"/>
      <c r="P9" s="69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79" cm="1">
        <f t="array" ref="AV9">ContarTurnos(Q9:AU9)</f>
        <v>0</v>
      </c>
      <c r="AW9" s="30">
        <f t="shared" si="0"/>
        <v>0</v>
      </c>
      <c r="AX9" s="30">
        <f t="shared" si="1"/>
        <v>0</v>
      </c>
      <c r="AY9" s="29" cm="1">
        <f t="array" ref="AY9">ContarFerias(Q9:AU9)</f>
        <v>0</v>
      </c>
    </row>
    <row r="10" spans="1:51" ht="15" customHeight="1" thickBot="1" x14ac:dyDescent="0.3">
      <c r="A10"/>
      <c r="B10" s="162"/>
      <c r="C10" s="163"/>
      <c r="D10"/>
      <c r="E10"/>
      <c r="F10" s="162"/>
      <c r="G10" s="163"/>
      <c r="H10"/>
      <c r="I10"/>
      <c r="J10" s="162"/>
      <c r="K10" s="163"/>
      <c r="L10"/>
      <c r="M10"/>
      <c r="N10" s="166"/>
      <c r="O10"/>
      <c r="P10" s="68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72" cm="1">
        <f t="array" ref="AV10">ContarTurnos(Q10:AU10)</f>
        <v>0</v>
      </c>
      <c r="AW10" s="24">
        <f t="shared" si="0"/>
        <v>0</v>
      </c>
      <c r="AX10" s="24">
        <f t="shared" si="1"/>
        <v>0</v>
      </c>
      <c r="AY10" s="28" cm="1">
        <f t="array" ref="AY10">ContarFerias(Q10:AU10)</f>
        <v>0</v>
      </c>
    </row>
    <row r="11" spans="1:51" ht="15" customHeight="1" thickBot="1" x14ac:dyDescent="0.3">
      <c r="A11"/>
      <c r="B11" s="164"/>
      <c r="C11" s="165"/>
      <c r="D11"/>
      <c r="E11"/>
      <c r="F11" s="164"/>
      <c r="G11" s="165"/>
      <c r="H11"/>
      <c r="I11"/>
      <c r="J11" s="164"/>
      <c r="K11" s="165"/>
      <c r="L11"/>
      <c r="M11"/>
      <c r="N11" s="167"/>
      <c r="O11"/>
      <c r="P11" s="69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79" cm="1">
        <f t="array" ref="AV11">ContarTurnos(Q11:AU11)</f>
        <v>0</v>
      </c>
      <c r="AW11" s="30">
        <f t="shared" si="0"/>
        <v>0</v>
      </c>
      <c r="AX11" s="30">
        <f t="shared" si="1"/>
        <v>0</v>
      </c>
      <c r="AY11" s="29" cm="1">
        <f t="array" ref="AY11">ContarFerias(Q11:AU11)</f>
        <v>0</v>
      </c>
    </row>
    <row r="12" spans="1:51" ht="15.75" thickBo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68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72" cm="1">
        <f t="array" ref="AV12">ContarTurnos(Q12:AU12)</f>
        <v>0</v>
      </c>
      <c r="AW12" s="24">
        <f t="shared" si="0"/>
        <v>0</v>
      </c>
      <c r="AX12" s="24">
        <f t="shared" si="1"/>
        <v>0</v>
      </c>
      <c r="AY12" s="28" cm="1">
        <f t="array" ref="AY12">ContarFerias(Q12:AU12)</f>
        <v>0</v>
      </c>
    </row>
    <row r="13" spans="1:51" ht="15.75" thickBo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69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79" cm="1">
        <f t="array" ref="AV13">ContarTurnos(Q13:AU13)</f>
        <v>0</v>
      </c>
      <c r="AW13" s="30">
        <f t="shared" si="0"/>
        <v>0</v>
      </c>
      <c r="AX13" s="30">
        <f t="shared" si="1"/>
        <v>0</v>
      </c>
      <c r="AY13" s="29" cm="1">
        <f t="array" ref="AY13">ContarFerias(Q13:AU13)</f>
        <v>0</v>
      </c>
    </row>
    <row r="14" spans="1:51" ht="15.75" thickBo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68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72" cm="1">
        <f t="array" ref="AV14">ContarTurnos(Q14:AU14)</f>
        <v>0</v>
      </c>
      <c r="AW14" s="24">
        <f t="shared" si="0"/>
        <v>0</v>
      </c>
      <c r="AX14" s="24">
        <f t="shared" si="1"/>
        <v>0</v>
      </c>
      <c r="AY14" s="28" cm="1">
        <f t="array" ref="AY14">ContarFerias(Q14:AU14)</f>
        <v>0</v>
      </c>
    </row>
    <row r="15" spans="1:51" ht="15.75" thickBo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69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79" cm="1">
        <f t="array" ref="AV15">ContarTurnos(Q15:AU15)</f>
        <v>0</v>
      </c>
      <c r="AW15" s="30">
        <f t="shared" si="0"/>
        <v>0</v>
      </c>
      <c r="AX15" s="30">
        <f t="shared" si="1"/>
        <v>0</v>
      </c>
      <c r="AY15" s="29" cm="1">
        <f t="array" ref="AY15">ContarFerias(Q15:AU15)</f>
        <v>0</v>
      </c>
    </row>
    <row r="16" spans="1:51" ht="15.75" thickBo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61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24" cm="1">
        <f t="array" ref="AV16">ContarTurnos(Q16:AU16)</f>
        <v>0</v>
      </c>
      <c r="AW16" s="24">
        <f t="shared" si="0"/>
        <v>0</v>
      </c>
      <c r="AX16" s="24">
        <f t="shared" si="1"/>
        <v>0</v>
      </c>
      <c r="AY16" s="22" cm="1">
        <f t="array" ref="AY16">ContarFerias(Q16:AU16)</f>
        <v>0</v>
      </c>
    </row>
    <row r="17" spans="1:52" ht="15.75" hidden="1" thickBo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80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30"/>
      <c r="AW17" s="30"/>
      <c r="AX17" s="30"/>
      <c r="AY17" s="77"/>
      <c r="AZ17" s="1" cm="1">
        <f t="array" ref="AZ17">ContarFE(Q17:AU17)</f>
        <v>0</v>
      </c>
    </row>
    <row r="18" spans="1:5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/>
      <c r="AE18"/>
      <c r="AF18"/>
      <c r="AG18"/>
      <c r="AH18"/>
      <c r="AI18"/>
      <c r="AJ18" s="42"/>
      <c r="AK18" s="42"/>
      <c r="AL18" s="42"/>
      <c r="AM18" s="42"/>
      <c r="AN18" s="42"/>
      <c r="AO18"/>
      <c r="AP18"/>
      <c r="AQ18"/>
      <c r="AR18"/>
      <c r="AS18"/>
      <c r="AT18"/>
      <c r="AU18"/>
      <c r="AV18"/>
      <c r="AW18"/>
      <c r="AX18"/>
      <c r="AY18"/>
    </row>
    <row r="19" spans="1:52" x14ac:dyDescent="0.25">
      <c r="A19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/>
      <c r="N19"/>
      <c r="O19"/>
      <c r="P19"/>
      <c r="Q19"/>
      <c r="R19"/>
      <c r="S19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/>
      <c r="AF19"/>
      <c r="AG19"/>
      <c r="AH19"/>
      <c r="AI19"/>
      <c r="AJ19"/>
      <c r="AK19" s="42"/>
      <c r="AL19" s="42"/>
      <c r="AM19" s="42"/>
      <c r="AN19" s="42"/>
      <c r="AO19"/>
      <c r="AP19"/>
      <c r="AQ19"/>
      <c r="AR19"/>
      <c r="AS19"/>
      <c r="AT19"/>
      <c r="AU19"/>
      <c r="AV19"/>
      <c r="AW19"/>
      <c r="AX19"/>
      <c r="AY19"/>
    </row>
    <row r="20" spans="1:52" x14ac:dyDescent="0.25">
      <c r="A20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/>
      <c r="N20"/>
      <c r="O20"/>
      <c r="P20"/>
      <c r="Q20" s="42"/>
      <c r="R20" s="42"/>
      <c r="S20" s="42"/>
      <c r="T20" s="42"/>
      <c r="U20" s="42"/>
      <c r="V20" s="42"/>
      <c r="W20" s="42"/>
      <c r="X20" s="42"/>
      <c r="Y20"/>
      <c r="Z20"/>
      <c r="AA20"/>
      <c r="AB20"/>
      <c r="AC20"/>
      <c r="AD20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/>
      <c r="AP20"/>
      <c r="AQ20"/>
      <c r="AR20"/>
      <c r="AS20"/>
      <c r="AT20"/>
      <c r="AU20"/>
      <c r="AV20"/>
      <c r="AW20"/>
      <c r="AX20"/>
      <c r="AY20"/>
    </row>
    <row r="21" spans="1:52" ht="15.75" customHeight="1" x14ac:dyDescent="0.25">
      <c r="A21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/>
      <c r="N21"/>
      <c r="O21"/>
      <c r="P21"/>
      <c r="Q21" s="42"/>
      <c r="R21" s="42"/>
      <c r="S21" s="42"/>
      <c r="T21" s="42"/>
      <c r="U21" s="42"/>
      <c r="V21" s="42"/>
      <c r="W21" s="42"/>
      <c r="X21" s="42"/>
      <c r="Y21"/>
      <c r="Z21"/>
      <c r="AA21"/>
      <c r="AB21"/>
      <c r="AC21"/>
      <c r="AD21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/>
      <c r="AV21" s="42"/>
      <c r="AW21" s="42"/>
      <c r="AX21" s="42"/>
      <c r="AY21"/>
    </row>
    <row r="22" spans="1:52" ht="15.75" customHeight="1" x14ac:dyDescent="0.25">
      <c r="A2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/>
      <c r="N22"/>
      <c r="O22"/>
      <c r="P22"/>
      <c r="Q22" s="42"/>
      <c r="R22" s="42"/>
      <c r="S22" s="42"/>
      <c r="T22" s="42"/>
      <c r="U22" s="42"/>
      <c r="V22" s="42"/>
      <c r="W22" s="42"/>
      <c r="X22" s="42"/>
      <c r="Y22"/>
      <c r="Z22"/>
      <c r="AA22"/>
      <c r="AB22"/>
      <c r="AC22"/>
      <c r="AD2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/>
      <c r="AV22" s="42"/>
      <c r="AW22" s="42"/>
      <c r="AX22" s="42"/>
      <c r="AY22"/>
    </row>
    <row r="23" spans="1:52" ht="15.75" customHeight="1" x14ac:dyDescent="0.25">
      <c r="A23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/>
      <c r="N23"/>
      <c r="O23"/>
      <c r="P23"/>
      <c r="Q23" s="42"/>
      <c r="R23" s="42"/>
      <c r="S23" s="42"/>
      <c r="T23" s="42"/>
      <c r="U23" s="42"/>
      <c r="V23" s="42"/>
      <c r="W23" s="42"/>
      <c r="X23" s="42"/>
      <c r="Y23"/>
      <c r="Z23"/>
      <c r="AA23"/>
      <c r="AB23"/>
      <c r="AC23"/>
      <c r="AD23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/>
      <c r="AV23" s="42"/>
      <c r="AW23" s="42"/>
      <c r="AX23" s="42"/>
      <c r="AY23"/>
    </row>
    <row r="24" spans="1:52" ht="15.75" customHeight="1" x14ac:dyDescent="0.25">
      <c r="A24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/>
      <c r="N24"/>
      <c r="O24"/>
      <c r="P24"/>
      <c r="Q24" s="42"/>
      <c r="R24" s="42"/>
      <c r="S24" s="42"/>
      <c r="T24" s="42"/>
      <c r="U24" s="42"/>
      <c r="V24" s="42"/>
      <c r="W24" s="42"/>
      <c r="X24" s="42"/>
      <c r="Y24"/>
      <c r="Z24"/>
      <c r="AA24"/>
      <c r="AB24"/>
      <c r="AC24"/>
      <c r="AD24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/>
      <c r="AV24" s="42"/>
      <c r="AW24" s="42"/>
      <c r="AX24" s="42"/>
      <c r="AY24"/>
    </row>
    <row r="25" spans="1:52" ht="15.75" customHeight="1" x14ac:dyDescent="0.25">
      <c r="A25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/>
      <c r="N25"/>
      <c r="O25"/>
      <c r="P25"/>
      <c r="Q25" s="42"/>
      <c r="R25" s="42"/>
      <c r="S25" s="42"/>
      <c r="T25" s="42"/>
      <c r="U25" s="42"/>
      <c r="V25" s="42"/>
      <c r="W25" s="42"/>
      <c r="X25" s="42"/>
      <c r="Y25"/>
      <c r="Z25"/>
      <c r="AA25"/>
      <c r="AB25"/>
      <c r="AC25"/>
      <c r="AD25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/>
      <c r="AP25"/>
      <c r="AQ25"/>
      <c r="AR25"/>
      <c r="AS25"/>
      <c r="AT25"/>
      <c r="AU25"/>
      <c r="AV25"/>
      <c r="AW25"/>
      <c r="AX25"/>
      <c r="AY25"/>
    </row>
    <row r="26" spans="1:52" x14ac:dyDescent="0.25">
      <c r="A26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/>
      <c r="N26"/>
      <c r="O26"/>
      <c r="P26"/>
      <c r="Q26" s="42"/>
      <c r="R26" s="42"/>
      <c r="S26" s="42"/>
      <c r="T26" s="42"/>
      <c r="U26" s="42"/>
      <c r="V26" s="42"/>
      <c r="W26" s="42"/>
      <c r="X26" s="42"/>
      <c r="Y26"/>
      <c r="Z26"/>
      <c r="AA26"/>
      <c r="AB26"/>
      <c r="AC26"/>
      <c r="AD26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/>
      <c r="AP26"/>
      <c r="AQ26"/>
      <c r="AR26"/>
      <c r="AS26"/>
      <c r="AT26"/>
      <c r="AU26"/>
      <c r="AV26"/>
      <c r="AW26"/>
      <c r="AX26"/>
      <c r="AY26"/>
    </row>
    <row r="27" spans="1:52" x14ac:dyDescent="0.25">
      <c r="A27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/>
      <c r="N27"/>
      <c r="O27"/>
      <c r="P27"/>
      <c r="Q27" s="42"/>
      <c r="R27" s="42"/>
      <c r="S27" s="42"/>
      <c r="T27" s="42"/>
      <c r="U27" s="42"/>
      <c r="V27" s="42"/>
      <c r="W27" s="42"/>
      <c r="X27" s="42"/>
      <c r="Y27"/>
      <c r="Z27"/>
      <c r="AA27"/>
      <c r="AB27"/>
      <c r="AC27"/>
      <c r="AD27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/>
      <c r="AP27"/>
      <c r="AQ27"/>
      <c r="AR27"/>
      <c r="AS27"/>
      <c r="AT27"/>
      <c r="AU27"/>
      <c r="AV27"/>
      <c r="AW27"/>
      <c r="AX27"/>
      <c r="AY27"/>
    </row>
    <row r="28" spans="1:52" x14ac:dyDescent="0.25">
      <c r="A28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/>
      <c r="N28"/>
      <c r="O28"/>
      <c r="P28"/>
      <c r="Q28" s="42"/>
      <c r="R28" s="42"/>
      <c r="S28" s="42"/>
      <c r="T28" s="42"/>
      <c r="U28" s="42"/>
      <c r="V28" s="42"/>
      <c r="W28" s="42"/>
      <c r="X28" s="42"/>
      <c r="Y28"/>
      <c r="Z28"/>
      <c r="AA28"/>
      <c r="AB28"/>
      <c r="AC28"/>
      <c r="AD28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/>
      <c r="AV28" s="42"/>
      <c r="AW28" s="42"/>
      <c r="AX28" s="42"/>
      <c r="AY28"/>
    </row>
    <row r="29" spans="1:52" x14ac:dyDescent="0.25">
      <c r="A29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/>
      <c r="N29"/>
      <c r="O29"/>
      <c r="P29"/>
      <c r="Q29" s="42"/>
      <c r="R29" s="42"/>
      <c r="S29" s="42"/>
      <c r="T29" s="42"/>
      <c r="U29" s="42"/>
      <c r="V29" s="42"/>
      <c r="W29" s="42"/>
      <c r="X29" s="42"/>
      <c r="Y29"/>
      <c r="Z29"/>
      <c r="AA29"/>
      <c r="AB29"/>
      <c r="AC29"/>
      <c r="AD29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/>
      <c r="AV29" s="42"/>
      <c r="AW29" s="42"/>
      <c r="AX29" s="42"/>
      <c r="AY29"/>
    </row>
    <row r="30" spans="1:52" x14ac:dyDescent="0.25">
      <c r="A30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/>
      <c r="N30"/>
      <c r="O30"/>
      <c r="P30"/>
      <c r="Q30"/>
      <c r="R30"/>
      <c r="S30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/>
      <c r="AF30"/>
      <c r="AG30"/>
      <c r="AH30"/>
      <c r="AI30"/>
      <c r="AJ30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/>
      <c r="AW30"/>
      <c r="AX30"/>
      <c r="AY30"/>
    </row>
    <row r="31" spans="1:52" x14ac:dyDescent="0.25">
      <c r="A31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/>
      <c r="N31"/>
      <c r="O31"/>
      <c r="P31"/>
      <c r="Q31"/>
      <c r="R31"/>
      <c r="S3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/>
      <c r="AF31"/>
      <c r="AG31"/>
      <c r="AH31"/>
      <c r="AI31"/>
      <c r="AJ31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/>
      <c r="AW31"/>
      <c r="AX31"/>
      <c r="AY31"/>
    </row>
    <row r="32" spans="1:52" x14ac:dyDescent="0.25">
      <c r="A3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/>
      <c r="N32"/>
      <c r="O32"/>
      <c r="P32"/>
      <c r="Q32"/>
      <c r="R32"/>
      <c r="S3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/>
      <c r="AF32"/>
      <c r="AG32"/>
      <c r="AH32"/>
      <c r="AI32"/>
      <c r="AJ3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/>
      <c r="AW32"/>
      <c r="AX32"/>
      <c r="AY32"/>
    </row>
    <row r="33" spans="1:51" x14ac:dyDescent="0.25">
      <c r="A33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/>
      <c r="Y36"/>
      <c r="Z36"/>
      <c r="AA36"/>
      <c r="AB36"/>
      <c r="AC36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/>
      <c r="AP36" s="42"/>
      <c r="AQ36" s="42"/>
      <c r="AR36" s="42"/>
      <c r="AS36" s="42"/>
      <c r="AT36" s="42"/>
      <c r="AU36" s="42"/>
      <c r="AV36" s="42"/>
      <c r="AW36" s="42"/>
      <c r="AX36"/>
      <c r="AY36"/>
    </row>
    <row r="37" spans="1:51" x14ac:dyDescent="0.25">
      <c r="A37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R37" s="42"/>
      <c r="S37" s="42"/>
      <c r="T37" s="42"/>
      <c r="U37" s="42"/>
      <c r="V37" s="42"/>
      <c r="W37" s="42"/>
      <c r="X37"/>
      <c r="Y37"/>
      <c r="Z37"/>
      <c r="AA37"/>
      <c r="AB37"/>
      <c r="AC37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/>
      <c r="AP37" s="42"/>
      <c r="AQ37" s="42"/>
      <c r="AR37" s="42"/>
      <c r="AS37" s="42"/>
      <c r="AT37" s="42"/>
      <c r="AU37" s="42"/>
      <c r="AV37" s="42"/>
      <c r="AW37" s="42"/>
      <c r="AX37"/>
      <c r="AY37"/>
    </row>
    <row r="38" spans="1:51" x14ac:dyDescent="0.25">
      <c r="A38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/>
      <c r="Y38"/>
      <c r="Z38"/>
      <c r="AA38"/>
      <c r="AB38"/>
      <c r="AC38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/>
      <c r="AP38" s="42"/>
      <c r="AQ38" s="42"/>
      <c r="AR38" s="42"/>
      <c r="AS38" s="42"/>
      <c r="AT38" s="42"/>
      <c r="AU38" s="42"/>
      <c r="AV38" s="42"/>
      <c r="AW38" s="42"/>
      <c r="AX38"/>
      <c r="AY38"/>
    </row>
    <row r="39" spans="1:51" x14ac:dyDescent="0.25">
      <c r="A39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/>
      <c r="Y39"/>
      <c r="Z39"/>
      <c r="AA39"/>
      <c r="AB39"/>
      <c r="AC39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/>
      <c r="AP39" s="42"/>
      <c r="AQ39" s="42"/>
      <c r="AR39" s="42"/>
      <c r="AS39" s="42"/>
      <c r="AT39" s="42"/>
      <c r="AU39" s="42"/>
      <c r="AV39" s="42"/>
      <c r="AW39" s="42"/>
      <c r="AX39"/>
      <c r="AY39"/>
    </row>
    <row r="40" spans="1:51" x14ac:dyDescent="0.25">
      <c r="A40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/>
      <c r="Y40"/>
      <c r="Z40"/>
      <c r="AA40"/>
      <c r="AB40"/>
      <c r="AC40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/>
      <c r="AP40" s="42"/>
      <c r="AQ40" s="42"/>
      <c r="AR40" s="42"/>
      <c r="AS40" s="42"/>
      <c r="AT40" s="42"/>
      <c r="AU40" s="42"/>
      <c r="AV40" s="42"/>
      <c r="AW40" s="42"/>
      <c r="AX40"/>
      <c r="AY40"/>
    </row>
    <row r="41" spans="1:51" x14ac:dyDescent="0.25">
      <c r="A41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/>
      <c r="Y41"/>
      <c r="Z41"/>
      <c r="AA41"/>
      <c r="AB41"/>
      <c r="AC41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/>
      <c r="AP41" s="42"/>
      <c r="AQ41" s="42"/>
      <c r="AR41" s="42"/>
      <c r="AS41" s="42"/>
      <c r="AT41" s="42"/>
      <c r="AU41" s="42"/>
      <c r="AV41" s="42"/>
      <c r="AW41" s="42"/>
      <c r="AX41"/>
      <c r="AY41"/>
    </row>
    <row r="42" spans="1:5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 s="42"/>
      <c r="AQ42" s="42"/>
      <c r="AR42" s="42"/>
      <c r="AS42" s="42"/>
      <c r="AT42" s="42"/>
      <c r="AU42" s="42"/>
      <c r="AV42" s="42"/>
      <c r="AW42" s="42"/>
      <c r="AX42"/>
      <c r="AY42"/>
    </row>
    <row r="43" spans="1:5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 s="42"/>
      <c r="AQ43" s="42"/>
      <c r="AR43" s="42"/>
      <c r="AS43" s="42"/>
      <c r="AT43" s="42"/>
      <c r="AU43" s="42"/>
      <c r="AV43" s="42"/>
      <c r="AW43" s="42"/>
      <c r="AX43"/>
      <c r="AY43"/>
    </row>
    <row r="44" spans="1:5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42"/>
      <c r="Q44" s="42"/>
      <c r="R44" s="42"/>
      <c r="S44" s="42"/>
      <c r="T44" s="42"/>
      <c r="U44" s="42"/>
      <c r="V44" s="42"/>
      <c r="W44" s="42"/>
      <c r="X44"/>
      <c r="Y44"/>
      <c r="Z44"/>
      <c r="AA44"/>
      <c r="AB44"/>
      <c r="AC44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/>
      <c r="AP44" s="42"/>
      <c r="AQ44" s="42"/>
      <c r="AR44" s="42"/>
      <c r="AS44" s="42"/>
      <c r="AT44" s="42"/>
      <c r="AU44" s="42"/>
      <c r="AV44" s="42"/>
      <c r="AW44" s="42"/>
      <c r="AX44" s="42"/>
      <c r="AY44" s="42"/>
    </row>
    <row r="45" spans="1:5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42"/>
      <c r="Q45" s="42"/>
      <c r="R45" s="42"/>
      <c r="S45" s="42"/>
      <c r="T45" s="42"/>
      <c r="U45" s="42"/>
      <c r="V45" s="42"/>
      <c r="W45" s="42"/>
      <c r="X45"/>
      <c r="Y45"/>
      <c r="Z45"/>
      <c r="AA45"/>
      <c r="AB45"/>
      <c r="AC45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/>
      <c r="AP45" s="42"/>
      <c r="AQ45" s="42"/>
      <c r="AR45" s="42"/>
      <c r="AS45" s="42"/>
      <c r="AT45" s="42"/>
      <c r="AU45" s="42"/>
      <c r="AV45" s="42"/>
      <c r="AW45" s="42"/>
      <c r="AX45" s="42"/>
      <c r="AY45" s="42"/>
    </row>
    <row r="46" spans="1:5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42"/>
      <c r="Q46" s="42"/>
      <c r="R46" s="42"/>
      <c r="S46" s="42"/>
      <c r="T46" s="42"/>
      <c r="U46" s="42"/>
      <c r="V46" s="42"/>
      <c r="W46" s="42"/>
      <c r="X46"/>
      <c r="Y46"/>
      <c r="Z46"/>
      <c r="AA46"/>
      <c r="AB46"/>
      <c r="AC46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/>
      <c r="AP46" s="42"/>
      <c r="AQ46" s="42"/>
      <c r="AR46" s="42"/>
      <c r="AS46" s="42"/>
      <c r="AT46" s="42"/>
      <c r="AU46" s="42"/>
      <c r="AV46"/>
      <c r="AW46"/>
      <c r="AX46"/>
      <c r="AY46"/>
    </row>
    <row r="47" spans="1:5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42"/>
      <c r="Q47" s="42"/>
      <c r="R47" s="42"/>
      <c r="S47" s="42"/>
      <c r="T47" s="42"/>
      <c r="U47" s="42"/>
      <c r="V47" s="42"/>
      <c r="W47" s="42"/>
      <c r="X47"/>
      <c r="Y47"/>
      <c r="Z47"/>
      <c r="AA47"/>
      <c r="AB47"/>
      <c r="AC47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/>
      <c r="AP47" s="42"/>
      <c r="AQ47" s="42"/>
      <c r="AR47" s="42"/>
      <c r="AS47" s="42"/>
      <c r="AT47" s="42"/>
      <c r="AU47" s="42"/>
      <c r="AV47"/>
      <c r="AW47"/>
      <c r="AX47"/>
      <c r="AY47"/>
    </row>
    <row r="48" spans="1:5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42"/>
      <c r="Q48" s="42"/>
      <c r="R48" s="42"/>
      <c r="S48" s="42"/>
      <c r="T48" s="42"/>
      <c r="U48" s="42"/>
      <c r="V48" s="42"/>
      <c r="W48" s="42"/>
      <c r="X48"/>
      <c r="Y48"/>
      <c r="Z48"/>
      <c r="AA48"/>
      <c r="AB48"/>
      <c r="AC48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/>
      <c r="AP48" s="42"/>
      <c r="AQ48" s="42"/>
      <c r="AR48" s="42"/>
      <c r="AS48" s="42"/>
      <c r="AT48" s="42"/>
      <c r="AU48" s="42"/>
      <c r="AV48" s="42"/>
      <c r="AW48" s="42"/>
      <c r="AX48" s="42"/>
      <c r="AY48" s="42"/>
    </row>
    <row r="49" spans="1:5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42"/>
      <c r="Q49" s="42"/>
      <c r="R49" s="42"/>
      <c r="S49" s="42"/>
      <c r="T49" s="42"/>
      <c r="U49" s="42"/>
      <c r="V49" s="42"/>
      <c r="W49" s="42"/>
      <c r="X49"/>
      <c r="Y49"/>
      <c r="Z49"/>
      <c r="AA49"/>
      <c r="AB49"/>
      <c r="AC49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/>
      <c r="AP49" s="42"/>
      <c r="AQ49" s="42"/>
      <c r="AR49" s="42"/>
      <c r="AS49" s="42"/>
      <c r="AT49" s="42"/>
      <c r="AU49" s="42"/>
      <c r="AV49" s="42"/>
      <c r="AW49" s="42"/>
      <c r="AX49" s="42"/>
      <c r="AY49" s="42"/>
    </row>
    <row r="50" spans="1:5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 s="42"/>
      <c r="AW50" s="42"/>
      <c r="AX50" s="42"/>
      <c r="AY50" s="42"/>
    </row>
    <row r="51" spans="1:5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 s="42"/>
      <c r="AW51" s="42"/>
      <c r="AX51" s="42"/>
      <c r="AY51" s="42"/>
    </row>
    <row r="52" spans="1:5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 s="42"/>
      <c r="AW52" s="42"/>
      <c r="AX52" s="42"/>
      <c r="AY52" s="42"/>
    </row>
    <row r="53" spans="1:5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 s="42"/>
      <c r="AW53" s="42"/>
      <c r="AX53" s="42"/>
      <c r="AY53" s="42"/>
    </row>
    <row r="54" spans="1:5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</row>
    <row r="64" spans="1:5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</row>
  </sheetData>
  <mergeCells count="8">
    <mergeCell ref="Q5:AU5"/>
    <mergeCell ref="J7:K11"/>
    <mergeCell ref="N7:N11"/>
    <mergeCell ref="B6:C6"/>
    <mergeCell ref="B7:C11"/>
    <mergeCell ref="F6:G6"/>
    <mergeCell ref="F7:G11"/>
    <mergeCell ref="J6:K6"/>
  </mergeCells>
  <conditionalFormatting sqref="Q7:AU16">
    <cfRule type="containsText" dxfId="690" priority="1" operator="containsText" text="E3">
      <formula>NOT(ISERROR(SEARCH("E3",Q7)))</formula>
    </cfRule>
    <cfRule type="containsText" dxfId="689" priority="2" operator="containsText" text="E2">
      <formula>NOT(ISERROR(SEARCH("E2",Q7)))</formula>
    </cfRule>
    <cfRule type="containsText" dxfId="688" priority="3" operator="containsText" text="E1">
      <formula>NOT(ISERROR(SEARCH("E1",Q7)))</formula>
    </cfRule>
    <cfRule type="containsText" dxfId="687" priority="18" operator="containsText" text="VA">
      <formula>NOT(ISERROR(SEARCH("VA",Q7)))</formula>
    </cfRule>
    <cfRule type="containsText" dxfId="686" priority="19" operator="containsText" text="DO">
      <formula>NOT(ISERROR(SEARCH("DO",Q7)))</formula>
    </cfRule>
  </conditionalFormatting>
  <conditionalFormatting sqref="Q17:AU17">
    <cfRule type="containsText" dxfId="685" priority="6" operator="containsText" text="VA">
      <formula>NOT(ISERROR(SEARCH("VA",Q17)))</formula>
    </cfRule>
    <cfRule type="containsText" dxfId="684" priority="7" operator="containsText" text="DO">
      <formula>NOT(ISERROR(SEARCH("DO",Q17)))</formula>
    </cfRule>
  </conditionalFormatting>
  <conditionalFormatting sqref="P17">
    <cfRule type="containsText" dxfId="683" priority="4" operator="containsText" text="VA">
      <formula>NOT(ISERROR(SEARCH("VA",P17)))</formula>
    </cfRule>
    <cfRule type="containsText" dxfId="682" priority="5" operator="containsText" text="DO">
      <formula>NOT(ISERROR(SEARCH("DO",P17)))</formula>
    </cfRule>
  </conditionalFormatting>
  <dataValidations count="2">
    <dataValidation type="list" allowBlank="1" showInputMessage="1" showErrorMessage="1" sqref="AO20:AO29" xr:uid="{C4B7EFFA-2DCB-4C94-B446-2CF4B6A3F79A}">
      <formula1>$AL$9:$AL$26</formula1>
    </dataValidation>
    <dataValidation type="list" allowBlank="1" showInputMessage="1" showErrorMessage="1" sqref="P6" xr:uid="{816409D1-D750-4B08-B810-8D97CE3247C4}">
      <formula1>"Janeiro,Fevereiro,Março,Abril,Maio,Junho,Julho,Agosto,Setembro,Outubro,Novembro,Dezembro"</formula1>
    </dataValidation>
  </dataValidations>
  <pageMargins left="0.511811023622047" right="0.511811023622047" top="0.78740157480314998" bottom="0.78740157480314998" header="0.31496062992126" footer="0.31496062992126"/>
  <pageSetup paperSize="5" scale="60" orientation="landscape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30CDC-9482-449C-A2A2-925C96C0256D}">
  <sheetPr codeName="Planilha161">
    <tabColor theme="9" tint="0.39997558519241921"/>
  </sheetPr>
  <dimension ref="A1:J40"/>
  <sheetViews>
    <sheetView workbookViewId="0">
      <selection activeCell="F33" sqref="F33"/>
    </sheetView>
  </sheetViews>
  <sheetFormatPr defaultColWidth="9.140625" defaultRowHeight="15" x14ac:dyDescent="0.25"/>
  <cols>
    <col min="1" max="3" width="8.7109375" customWidth="1"/>
    <col min="4" max="4" width="46.85546875" bestFit="1" customWidth="1"/>
    <col min="5" max="7" width="8.7109375"/>
    <col min="8" max="8" width="10.5703125" customWidth="1"/>
    <col min="9" max="9" width="77.85546875" bestFit="1" customWidth="1"/>
    <col min="10" max="10" width="8.7109375" customWidth="1"/>
    <col min="11" max="16384" width="9.140625" style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9" customHeight="1" thickBot="1" x14ac:dyDescent="0.3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ht="34.5" customHeight="1" thickBot="1" x14ac:dyDescent="0.3">
      <c r="A3" s="168" t="s">
        <v>58</v>
      </c>
      <c r="B3" s="169"/>
      <c r="C3" s="169"/>
      <c r="D3" s="169"/>
      <c r="E3" s="169"/>
      <c r="F3" s="169"/>
      <c r="G3" s="169"/>
      <c r="H3" s="169"/>
      <c r="I3" s="169"/>
      <c r="J3" s="170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x14ac:dyDescent="0.25">
      <c r="A6" s="1"/>
      <c r="B6" s="1"/>
      <c r="C6" s="1"/>
      <c r="D6" s="120" t="s">
        <v>59</v>
      </c>
      <c r="E6" s="1"/>
      <c r="F6" s="1"/>
      <c r="G6" s="1"/>
      <c r="H6" s="1"/>
      <c r="I6" s="120" t="s">
        <v>60</v>
      </c>
      <c r="J6" s="1"/>
    </row>
    <row r="7" spans="1:10" ht="15.75" thickBot="1" x14ac:dyDescent="0.3">
      <c r="A7" s="1"/>
      <c r="B7" s="1"/>
      <c r="C7" s="1"/>
      <c r="D7" s="122"/>
      <c r="E7" s="1"/>
      <c r="F7" s="1"/>
      <c r="G7" s="1"/>
      <c r="H7" s="1"/>
      <c r="I7" s="122"/>
      <c r="J7" s="1"/>
    </row>
    <row r="8" spans="1:10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 x14ac:dyDescent="0.25">
      <c r="A9" s="1"/>
      <c r="B9" s="1"/>
      <c r="C9" s="1"/>
      <c r="D9" s="120" t="s">
        <v>61</v>
      </c>
      <c r="E9" s="1"/>
      <c r="F9" s="1"/>
      <c r="G9" s="1"/>
      <c r="H9" s="1"/>
      <c r="I9" s="120" t="s">
        <v>62</v>
      </c>
      <c r="J9" s="1"/>
    </row>
    <row r="10" spans="1:10" ht="15.75" thickBot="1" x14ac:dyDescent="0.3">
      <c r="A10" s="1"/>
      <c r="B10" s="1"/>
      <c r="C10" s="1"/>
      <c r="D10" s="122"/>
      <c r="E10" s="1"/>
      <c r="F10" s="1"/>
      <c r="G10" s="1"/>
      <c r="H10" s="1"/>
      <c r="I10" s="122"/>
      <c r="J10" s="1"/>
    </row>
    <row r="11" spans="1:10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ht="15.75" thickBot="1" x14ac:dyDescent="0.3">
      <c r="A12" s="1"/>
      <c r="B12" s="1"/>
      <c r="C12" s="1"/>
      <c r="D12" s="120" t="s">
        <v>63</v>
      </c>
      <c r="E12" s="1"/>
      <c r="F12" s="1"/>
      <c r="G12" s="1"/>
      <c r="H12" s="1"/>
      <c r="I12" s="1"/>
      <c r="J12" s="1"/>
    </row>
    <row r="13" spans="1:10" ht="15.75" thickBot="1" x14ac:dyDescent="0.3">
      <c r="A13" s="1"/>
      <c r="B13" s="1"/>
      <c r="C13" s="1"/>
      <c r="D13" s="122"/>
      <c r="E13" s="1"/>
      <c r="F13" s="1"/>
      <c r="G13" s="1"/>
      <c r="H13" s="1"/>
      <c r="I13" s="120" t="s">
        <v>64</v>
      </c>
      <c r="J13" s="1"/>
    </row>
    <row r="14" spans="1:10" ht="15.75" thickBot="1" x14ac:dyDescent="0.3">
      <c r="A14" s="1"/>
      <c r="B14" s="1"/>
      <c r="C14" s="1"/>
      <c r="D14" s="1"/>
      <c r="E14" s="1"/>
      <c r="F14" s="1"/>
      <c r="G14" s="1"/>
      <c r="H14" s="1"/>
      <c r="I14" s="122"/>
      <c r="J14" s="1"/>
    </row>
    <row r="15" spans="1:10" x14ac:dyDescent="0.25">
      <c r="A15" s="1"/>
      <c r="B15" s="1"/>
      <c r="C15" s="1"/>
      <c r="D15" s="120" t="s">
        <v>65</v>
      </c>
      <c r="E15" s="1"/>
      <c r="F15" s="1"/>
      <c r="G15" s="1"/>
      <c r="H15" s="1"/>
      <c r="I15" s="1"/>
      <c r="J15" s="1"/>
    </row>
    <row r="16" spans="1:10" ht="15.75" thickBot="1" x14ac:dyDescent="0.3">
      <c r="A16" s="1"/>
      <c r="B16" s="1"/>
      <c r="C16" s="1"/>
      <c r="D16" s="122"/>
      <c r="E16" s="1"/>
      <c r="F16" s="1"/>
      <c r="G16" s="1"/>
      <c r="H16" s="1"/>
      <c r="I16" s="1"/>
      <c r="J16" s="1"/>
    </row>
    <row r="17" spans="2:9" s="1" customFormat="1" ht="15.75" thickBot="1" x14ac:dyDescent="0.3"/>
    <row r="18" spans="2:9" s="1" customFormat="1" x14ac:dyDescent="0.25">
      <c r="D18" s="120" t="s">
        <v>66</v>
      </c>
      <c r="I18" s="120" t="s">
        <v>67</v>
      </c>
    </row>
    <row r="19" spans="2:9" s="1" customFormat="1" ht="15.75" thickBot="1" x14ac:dyDescent="0.3">
      <c r="D19" s="122"/>
      <c r="I19" s="122"/>
    </row>
    <row r="20" spans="2:9" s="1" customFormat="1" ht="15.75" thickBot="1" x14ac:dyDescent="0.3"/>
    <row r="21" spans="2:9" s="1" customFormat="1" x14ac:dyDescent="0.25">
      <c r="D21" s="120" t="s">
        <v>68</v>
      </c>
      <c r="I21" s="120" t="s">
        <v>69</v>
      </c>
    </row>
    <row r="22" spans="2:9" s="1" customFormat="1" ht="15.75" thickBot="1" x14ac:dyDescent="0.3">
      <c r="D22" s="122"/>
      <c r="I22" s="122"/>
    </row>
    <row r="23" spans="2:9" s="1" customFormat="1" ht="15.75" thickBot="1" x14ac:dyDescent="0.3"/>
    <row r="24" spans="2:9" s="1" customFormat="1" x14ac:dyDescent="0.25">
      <c r="D24" s="120" t="s">
        <v>70</v>
      </c>
      <c r="I24" s="120" t="s">
        <v>71</v>
      </c>
    </row>
    <row r="25" spans="2:9" s="1" customFormat="1" ht="15.75" thickBot="1" x14ac:dyDescent="0.3">
      <c r="D25" s="122"/>
      <c r="I25" s="122"/>
    </row>
    <row r="26" spans="2:9" s="1" customFormat="1" x14ac:dyDescent="0.25"/>
    <row r="27" spans="2:9" s="1" customFormat="1" ht="15.75" thickBot="1" x14ac:dyDescent="0.3"/>
    <row r="28" spans="2:9" s="1" customFormat="1" ht="15.75" thickBot="1" x14ac:dyDescent="0.3">
      <c r="B28" s="19" t="s">
        <v>3</v>
      </c>
      <c r="C28" s="88" t="s">
        <v>19</v>
      </c>
      <c r="D28" s="90"/>
      <c r="E28" s="93" t="s">
        <v>17</v>
      </c>
      <c r="F28" s="100"/>
      <c r="G28" s="59" t="s">
        <v>18</v>
      </c>
    </row>
    <row r="29" spans="2:9" s="1" customFormat="1" ht="15.75" thickBot="1" x14ac:dyDescent="0.3">
      <c r="B29" s="54" t="s">
        <v>10</v>
      </c>
      <c r="C29" s="88" t="s">
        <v>33</v>
      </c>
      <c r="D29" s="90"/>
      <c r="E29" s="93" t="s">
        <v>23</v>
      </c>
      <c r="F29" s="100"/>
      <c r="G29" s="60" t="s">
        <v>24</v>
      </c>
    </row>
    <row r="30" spans="2:9" s="1" customFormat="1" ht="15.75" thickBot="1" x14ac:dyDescent="0.3">
      <c r="B30" s="21" t="s">
        <v>13</v>
      </c>
      <c r="C30" s="88" t="s">
        <v>38</v>
      </c>
      <c r="D30" s="90"/>
      <c r="E30" s="93" t="s">
        <v>29</v>
      </c>
      <c r="F30" s="100"/>
      <c r="G30" s="61" t="s">
        <v>30</v>
      </c>
    </row>
    <row r="31" spans="2:9" s="1" customFormat="1" x14ac:dyDescent="0.25"/>
    <row r="32" spans="2:9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</sheetData>
  <mergeCells count="20">
    <mergeCell ref="C28:D28"/>
    <mergeCell ref="E28:F28"/>
    <mergeCell ref="E29:F29"/>
    <mergeCell ref="E30:F30"/>
    <mergeCell ref="C29:D29"/>
    <mergeCell ref="C30:D30"/>
    <mergeCell ref="D24:D25"/>
    <mergeCell ref="D18:D19"/>
    <mergeCell ref="A3:J3"/>
    <mergeCell ref="D21:D22"/>
    <mergeCell ref="I18:I19"/>
    <mergeCell ref="I21:I22"/>
    <mergeCell ref="D6:D7"/>
    <mergeCell ref="D9:D10"/>
    <mergeCell ref="D12:D13"/>
    <mergeCell ref="D15:D16"/>
    <mergeCell ref="I6:I7"/>
    <mergeCell ref="I9:I10"/>
    <mergeCell ref="I13:I14"/>
    <mergeCell ref="I24:I25"/>
  </mergeCells>
  <conditionalFormatting sqref="B28">
    <cfRule type="containsText" dxfId="681" priority="8" operator="containsText" text="T3">
      <formula>NOT(ISERROR(SEARCH("T3",B28)))</formula>
    </cfRule>
    <cfRule type="containsText" dxfId="680" priority="9" operator="containsText" text="T2">
      <formula>NOT(ISERROR(SEARCH("T2",B28)))</formula>
    </cfRule>
    <cfRule type="containsText" dxfId="679" priority="10" operator="containsText" text="T1">
      <formula>NOT(ISERROR(SEARCH("T1",B28)))</formula>
    </cfRule>
  </conditionalFormatting>
  <conditionalFormatting sqref="B29">
    <cfRule type="containsText" dxfId="678" priority="5" operator="containsText" text="T3">
      <formula>NOT(ISERROR(SEARCH("T3",B29)))</formula>
    </cfRule>
    <cfRule type="containsText" dxfId="677" priority="6" operator="containsText" text="T2">
      <formula>NOT(ISERROR(SEARCH("T2",B29)))</formula>
    </cfRule>
    <cfRule type="containsText" dxfId="676" priority="7" operator="containsText" text="T1">
      <formula>NOT(ISERROR(SEARCH("T1",B29)))</formula>
    </cfRule>
  </conditionalFormatting>
  <conditionalFormatting sqref="B30">
    <cfRule type="containsText" dxfId="675" priority="2" operator="containsText" text="T3">
      <formula>NOT(ISERROR(SEARCH("T3",B30)))</formula>
    </cfRule>
    <cfRule type="containsText" dxfId="674" priority="3" operator="containsText" text="T2">
      <formula>NOT(ISERROR(SEARCH("T2",B30)))</formula>
    </cfRule>
    <cfRule type="containsText" dxfId="673" priority="4" operator="containsText" text="T1">
      <formula>NOT(ISERROR(SEARCH("T1",B30)))</formula>
    </cfRule>
  </conditionalFormatting>
  <conditionalFormatting sqref="G30">
    <cfRule type="containsText" dxfId="672" priority="1" operator="containsText" text="FE">
      <formula>NOT(ISERROR(SEARCH("FE",G30)))</formula>
    </cfRule>
  </conditionalFormatting>
  <dataValidations count="1">
    <dataValidation type="list" allowBlank="1" showInputMessage="1" showErrorMessage="1" sqref="B28:B30" xr:uid="{D81D3451-1748-43C0-976F-F72E599CDCDB}">
      <formula1>$AL$10:$AL$17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8963E-89DC-4EC8-AFE7-470B686C1B27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SEG</v>
      </c>
      <c r="C7" s="6" t="str">
        <f t="shared" ref="C7:AF7" si="0">UPPER(TEXT(C8,"[$]ddd"))</f>
        <v>TER</v>
      </c>
      <c r="D7" s="6" t="str">
        <f t="shared" si="0"/>
        <v>QUA</v>
      </c>
      <c r="E7" s="6" t="str">
        <f t="shared" si="0"/>
        <v>QUI</v>
      </c>
      <c r="F7" s="6" t="str">
        <f t="shared" si="0"/>
        <v>SEX</v>
      </c>
      <c r="G7" s="6" t="str">
        <f t="shared" si="0"/>
        <v>SÁB</v>
      </c>
      <c r="H7" s="6" t="str">
        <f t="shared" si="0"/>
        <v>DOM</v>
      </c>
      <c r="I7" s="6" t="str">
        <f t="shared" si="0"/>
        <v>SEG</v>
      </c>
      <c r="J7" s="6" t="str">
        <f t="shared" si="0"/>
        <v>TER</v>
      </c>
      <c r="K7" s="6" t="str">
        <f t="shared" si="0"/>
        <v>QUA</v>
      </c>
      <c r="L7" s="6" t="str">
        <f t="shared" si="0"/>
        <v>QUI</v>
      </c>
      <c r="M7" s="6" t="str">
        <f t="shared" si="0"/>
        <v>SEX</v>
      </c>
      <c r="N7" s="6" t="str">
        <f t="shared" si="0"/>
        <v>SÁB</v>
      </c>
      <c r="O7" s="6" t="str">
        <f t="shared" si="0"/>
        <v>DOM</v>
      </c>
      <c r="P7" s="6" t="str">
        <f t="shared" si="0"/>
        <v>SEG</v>
      </c>
      <c r="Q7" s="6" t="str">
        <f t="shared" si="0"/>
        <v>TER</v>
      </c>
      <c r="R7" s="6" t="str">
        <f t="shared" si="0"/>
        <v>QUA</v>
      </c>
      <c r="S7" s="6" t="str">
        <f t="shared" si="0"/>
        <v>QUI</v>
      </c>
      <c r="T7" s="6" t="str">
        <f t="shared" si="0"/>
        <v>SEX</v>
      </c>
      <c r="U7" s="6" t="str">
        <f t="shared" si="0"/>
        <v>SÁB</v>
      </c>
      <c r="V7" s="6" t="str">
        <f t="shared" si="0"/>
        <v>DOM</v>
      </c>
      <c r="W7" s="6" t="str">
        <f t="shared" si="0"/>
        <v>SEG</v>
      </c>
      <c r="X7" s="6" t="str">
        <f t="shared" si="0"/>
        <v>TER</v>
      </c>
      <c r="Y7" s="6" t="str">
        <f t="shared" si="0"/>
        <v>QUA</v>
      </c>
      <c r="Z7" s="6" t="str">
        <f t="shared" si="0"/>
        <v>QUI</v>
      </c>
      <c r="AA7" s="6" t="str">
        <f t="shared" si="0"/>
        <v>SEX</v>
      </c>
      <c r="AB7" s="6" t="str">
        <f t="shared" si="0"/>
        <v>SÁB</v>
      </c>
      <c r="AC7" s="6" t="str">
        <f t="shared" si="0"/>
        <v>DOM</v>
      </c>
      <c r="AD7" s="6" t="str">
        <f t="shared" si="0"/>
        <v>SEG</v>
      </c>
      <c r="AE7" s="6" t="str">
        <f t="shared" si="0"/>
        <v>TER</v>
      </c>
      <c r="AF7" s="6" t="str">
        <f t="shared" si="0"/>
        <v>QUA</v>
      </c>
    </row>
    <row r="8" spans="1:32" ht="15.75" thickBot="1" x14ac:dyDescent="0.3">
      <c r="A8" s="99"/>
      <c r="B8" s="56">
        <f>D21</f>
        <v>45292</v>
      </c>
      <c r="C8" s="57">
        <f>B8+1</f>
        <v>45293</v>
      </c>
      <c r="D8" s="57">
        <f t="shared" ref="D8:AF8" si="1">C8+1</f>
        <v>45294</v>
      </c>
      <c r="E8" s="57">
        <f t="shared" si="1"/>
        <v>45295</v>
      </c>
      <c r="F8" s="57">
        <f t="shared" si="1"/>
        <v>45296</v>
      </c>
      <c r="G8" s="57">
        <f t="shared" si="1"/>
        <v>45297</v>
      </c>
      <c r="H8" s="57">
        <f t="shared" si="1"/>
        <v>45298</v>
      </c>
      <c r="I8" s="57">
        <f t="shared" si="1"/>
        <v>45299</v>
      </c>
      <c r="J8" s="57">
        <f t="shared" si="1"/>
        <v>45300</v>
      </c>
      <c r="K8" s="57">
        <f t="shared" si="1"/>
        <v>45301</v>
      </c>
      <c r="L8" s="57">
        <f t="shared" si="1"/>
        <v>45302</v>
      </c>
      <c r="M8" s="57">
        <f t="shared" si="1"/>
        <v>45303</v>
      </c>
      <c r="N8" s="57">
        <f t="shared" si="1"/>
        <v>45304</v>
      </c>
      <c r="O8" s="57">
        <f t="shared" si="1"/>
        <v>45305</v>
      </c>
      <c r="P8" s="57">
        <f t="shared" si="1"/>
        <v>45306</v>
      </c>
      <c r="Q8" s="57">
        <f t="shared" si="1"/>
        <v>45307</v>
      </c>
      <c r="R8" s="57">
        <f t="shared" si="1"/>
        <v>45308</v>
      </c>
      <c r="S8" s="57">
        <f t="shared" si="1"/>
        <v>45309</v>
      </c>
      <c r="T8" s="57">
        <f t="shared" si="1"/>
        <v>45310</v>
      </c>
      <c r="U8" s="57">
        <f t="shared" si="1"/>
        <v>45311</v>
      </c>
      <c r="V8" s="57">
        <f t="shared" si="1"/>
        <v>45312</v>
      </c>
      <c r="W8" s="57">
        <f t="shared" si="1"/>
        <v>45313</v>
      </c>
      <c r="X8" s="57">
        <f t="shared" si="1"/>
        <v>45314</v>
      </c>
      <c r="Y8" s="57">
        <f t="shared" si="1"/>
        <v>45315</v>
      </c>
      <c r="Z8" s="57">
        <f t="shared" si="1"/>
        <v>45316</v>
      </c>
      <c r="AA8" s="57">
        <f t="shared" si="1"/>
        <v>45317</v>
      </c>
      <c r="AB8" s="57">
        <f t="shared" si="1"/>
        <v>45318</v>
      </c>
      <c r="AC8" s="57">
        <f t="shared" si="1"/>
        <v>45319</v>
      </c>
      <c r="AD8" s="57">
        <f t="shared" si="1"/>
        <v>45320</v>
      </c>
      <c r="AE8" s="57">
        <f t="shared" si="1"/>
        <v>45321</v>
      </c>
      <c r="AF8" s="58">
        <f t="shared" si="1"/>
        <v>45322</v>
      </c>
    </row>
    <row r="9" spans="1:32" x14ac:dyDescent="0.25">
      <c r="A9" s="19" t="s">
        <v>2</v>
      </c>
      <c r="B9" s="44" t="s">
        <v>3</v>
      </c>
      <c r="C9" s="45" t="s">
        <v>3</v>
      </c>
      <c r="D9" s="45" t="s">
        <v>3</v>
      </c>
      <c r="E9" s="45" t="s">
        <v>3</v>
      </c>
      <c r="F9" s="45" t="s">
        <v>3</v>
      </c>
      <c r="G9" s="45"/>
      <c r="H9" s="45"/>
      <c r="I9" s="45" t="s">
        <v>3</v>
      </c>
      <c r="J9" s="45" t="s">
        <v>3</v>
      </c>
      <c r="K9" s="45" t="s">
        <v>3</v>
      </c>
      <c r="L9" s="45" t="s">
        <v>3</v>
      </c>
      <c r="M9" s="45" t="s">
        <v>3</v>
      </c>
      <c r="N9" s="45"/>
      <c r="O9" s="45"/>
      <c r="P9" s="45" t="s">
        <v>3</v>
      </c>
      <c r="Q9" s="45" t="s">
        <v>3</v>
      </c>
      <c r="R9" s="45" t="s">
        <v>3</v>
      </c>
      <c r="S9" s="45" t="s">
        <v>3</v>
      </c>
      <c r="T9" s="45" t="s">
        <v>3</v>
      </c>
      <c r="U9" s="45"/>
      <c r="V9" s="45"/>
      <c r="W9" s="45" t="s">
        <v>3</v>
      </c>
      <c r="X9" s="45" t="s">
        <v>3</v>
      </c>
      <c r="Y9" s="45" t="s">
        <v>3</v>
      </c>
      <c r="Z9" s="45" t="s">
        <v>3</v>
      </c>
      <c r="AA9" s="45" t="s">
        <v>3</v>
      </c>
      <c r="AB9" s="45"/>
      <c r="AC9" s="45"/>
      <c r="AD9" s="45" t="s">
        <v>3</v>
      </c>
      <c r="AE9" s="45" t="s">
        <v>3</v>
      </c>
      <c r="AF9" s="55" t="s">
        <v>3</v>
      </c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45292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45322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31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671" priority="56">
      <formula>INDIRECT(_xludf.CELL("address"))="$AL$10:$AL$19"</formula>
    </cfRule>
  </conditionalFormatting>
  <conditionalFormatting sqref="B19:AF19">
    <cfRule type="containsText" dxfId="670" priority="55" operator="containsText" text="FE">
      <formula>NOT(ISERROR(SEARCH("FE",B19)))</formula>
    </cfRule>
  </conditionalFormatting>
  <conditionalFormatting sqref="B9:AF18">
    <cfRule type="containsText" dxfId="669" priority="1" operator="containsText" text="E3">
      <formula>NOT(ISERROR(SEARCH("E3",B9)))</formula>
    </cfRule>
    <cfRule type="containsText" dxfId="668" priority="2" operator="containsText" text="E2">
      <formula>NOT(ISERROR(SEARCH("E2",B9)))</formula>
    </cfRule>
    <cfRule type="containsText" dxfId="667" priority="3" operator="containsText" text="E1">
      <formula>NOT(ISERROR(SEARCH("E1",B9)))</formula>
    </cfRule>
    <cfRule type="containsText" dxfId="666" priority="50" operator="containsText" text="DO">
      <formula>NOT(ISERROR(SEARCH("DO",B9)))</formula>
    </cfRule>
    <cfRule type="containsText" dxfId="665" priority="51" operator="containsText" text="VA">
      <formula>NOT(ISERROR(SEARCH("VA",B9)))</formula>
    </cfRule>
    <cfRule type="containsText" dxfId="664" priority="52" operator="containsText" text="T1">
      <formula>NOT(ISERROR(SEARCH("T1",B9)))</formula>
    </cfRule>
    <cfRule type="containsText" dxfId="663" priority="53" operator="containsText" text="T2">
      <formula>NOT(ISERROR(SEARCH("T2",B9)))</formula>
    </cfRule>
    <cfRule type="containsText" dxfId="662" priority="54" operator="containsText" text="T3">
      <formula>NOT(ISERROR(SEARCH("T3",B9)))</formula>
    </cfRule>
  </conditionalFormatting>
  <conditionalFormatting sqref="B8">
    <cfRule type="expression" dxfId="661" priority="49">
      <formula>$B$19="FE"</formula>
    </cfRule>
  </conditionalFormatting>
  <conditionalFormatting sqref="C8">
    <cfRule type="expression" dxfId="660" priority="48">
      <formula>$C$19="FE"</formula>
    </cfRule>
  </conditionalFormatting>
  <conditionalFormatting sqref="D8">
    <cfRule type="expression" dxfId="659" priority="47">
      <formula>$D$19="FE"</formula>
    </cfRule>
  </conditionalFormatting>
  <conditionalFormatting sqref="E8">
    <cfRule type="expression" dxfId="658" priority="46">
      <formula>$E$19="FE"</formula>
    </cfRule>
  </conditionalFormatting>
  <conditionalFormatting sqref="F8">
    <cfRule type="expression" dxfId="657" priority="45">
      <formula>$F$19="FE"</formula>
    </cfRule>
  </conditionalFormatting>
  <conditionalFormatting sqref="G8">
    <cfRule type="expression" dxfId="656" priority="44">
      <formula>$G$19="FE"</formula>
    </cfRule>
  </conditionalFormatting>
  <conditionalFormatting sqref="H8">
    <cfRule type="expression" dxfId="655" priority="43">
      <formula>$H$19="FE"</formula>
    </cfRule>
  </conditionalFormatting>
  <conditionalFormatting sqref="I8">
    <cfRule type="expression" dxfId="654" priority="42">
      <formula>$I$19="FE"</formula>
    </cfRule>
  </conditionalFormatting>
  <conditionalFormatting sqref="J8">
    <cfRule type="expression" dxfId="653" priority="41">
      <formula>$J$19="FE"</formula>
    </cfRule>
  </conditionalFormatting>
  <conditionalFormatting sqref="K8">
    <cfRule type="expression" dxfId="652" priority="40">
      <formula>$K$19="FE"</formula>
    </cfRule>
  </conditionalFormatting>
  <conditionalFormatting sqref="L8">
    <cfRule type="expression" dxfId="651" priority="39">
      <formula>$L$19="FE"</formula>
    </cfRule>
  </conditionalFormatting>
  <conditionalFormatting sqref="M8">
    <cfRule type="expression" dxfId="650" priority="38">
      <formula>$M$19="FE"</formula>
    </cfRule>
  </conditionalFormatting>
  <conditionalFormatting sqref="N8">
    <cfRule type="expression" dxfId="649" priority="37">
      <formula>$N$19="FE"</formula>
    </cfRule>
  </conditionalFormatting>
  <conditionalFormatting sqref="O8">
    <cfRule type="expression" dxfId="648" priority="36">
      <formula>$O$19="FE"</formula>
    </cfRule>
  </conditionalFormatting>
  <conditionalFormatting sqref="P8">
    <cfRule type="expression" dxfId="647" priority="35">
      <formula>$P$19="FE"</formula>
    </cfRule>
  </conditionalFormatting>
  <conditionalFormatting sqref="Q8">
    <cfRule type="expression" dxfId="646" priority="34">
      <formula>$Q$19="FE"</formula>
    </cfRule>
  </conditionalFormatting>
  <conditionalFormatting sqref="R8">
    <cfRule type="expression" dxfId="645" priority="33">
      <formula>$R$19="FE"</formula>
    </cfRule>
  </conditionalFormatting>
  <conditionalFormatting sqref="S8">
    <cfRule type="expression" dxfId="644" priority="32">
      <formula>$S$19="FE"</formula>
    </cfRule>
  </conditionalFormatting>
  <conditionalFormatting sqref="T8">
    <cfRule type="expression" dxfId="643" priority="31">
      <formula>$T$19="FE"</formula>
    </cfRule>
  </conditionalFormatting>
  <conditionalFormatting sqref="U8">
    <cfRule type="expression" dxfId="642" priority="30">
      <formula>$U$19="FE"</formula>
    </cfRule>
  </conditionalFormatting>
  <conditionalFormatting sqref="V8">
    <cfRule type="expression" dxfId="641" priority="29">
      <formula>$V$19="FE"</formula>
    </cfRule>
  </conditionalFormatting>
  <conditionalFormatting sqref="W8">
    <cfRule type="expression" dxfId="640" priority="28">
      <formula>$W$19="FE"</formula>
    </cfRule>
  </conditionalFormatting>
  <conditionalFormatting sqref="X8">
    <cfRule type="expression" dxfId="639" priority="27">
      <formula>$X$19="FE"</formula>
    </cfRule>
  </conditionalFormatting>
  <conditionalFormatting sqref="Y8">
    <cfRule type="expression" dxfId="638" priority="26">
      <formula>$Y$19="FE"</formula>
    </cfRule>
  </conditionalFormatting>
  <conditionalFormatting sqref="Z8">
    <cfRule type="expression" dxfId="637" priority="25">
      <formula>$Z$19="FE"</formula>
    </cfRule>
  </conditionalFormatting>
  <conditionalFormatting sqref="AA8">
    <cfRule type="expression" dxfId="636" priority="24">
      <formula>$AA$19="FE"</formula>
    </cfRule>
  </conditionalFormatting>
  <conditionalFormatting sqref="AB8">
    <cfRule type="expression" dxfId="635" priority="23">
      <formula>$AB$19="FE"</formula>
    </cfRule>
  </conditionalFormatting>
  <conditionalFormatting sqref="AC8">
    <cfRule type="expression" dxfId="634" priority="22">
      <formula>$AC$19="FE"</formula>
    </cfRule>
  </conditionalFormatting>
  <conditionalFormatting sqref="AD8">
    <cfRule type="expression" dxfId="633" priority="21">
      <formula>$AD$19="FE"</formula>
    </cfRule>
  </conditionalFormatting>
  <conditionalFormatting sqref="AE8">
    <cfRule type="expression" dxfId="632" priority="20">
      <formula>$AE$19="FE"</formula>
    </cfRule>
  </conditionalFormatting>
  <conditionalFormatting sqref="AF8">
    <cfRule type="expression" dxfId="631" priority="19">
      <formula>$AF$19="FE"</formula>
    </cfRule>
  </conditionalFormatting>
  <conditionalFormatting sqref="B7:AF7">
    <cfRule type="containsText" dxfId="630" priority="17" operator="containsText" text="DOM">
      <formula>NOT(ISERROR(SEARCH("DOM",B7)))</formula>
    </cfRule>
    <cfRule type="containsText" dxfId="629" priority="18" operator="containsText" text="SÁB">
      <formula>NOT(ISERROR(SEARCH("SÁB",B7)))</formula>
    </cfRule>
  </conditionalFormatting>
  <conditionalFormatting sqref="J23">
    <cfRule type="containsText" dxfId="628" priority="16" operator="containsText" text="FE">
      <formula>NOT(ISERROR(SEARCH("FE",J23)))</formula>
    </cfRule>
  </conditionalFormatting>
  <conditionalFormatting sqref="N21">
    <cfRule type="containsText" dxfId="627" priority="13" operator="containsText" text="T3">
      <formula>NOT(ISERROR(SEARCH("T3",N21)))</formula>
    </cfRule>
    <cfRule type="containsText" dxfId="626" priority="14" operator="containsText" text="T2">
      <formula>NOT(ISERROR(SEARCH("T2",N21)))</formula>
    </cfRule>
    <cfRule type="containsText" dxfId="625" priority="15" operator="containsText" text="T1">
      <formula>NOT(ISERROR(SEARCH("T1",N21)))</formula>
    </cfRule>
  </conditionalFormatting>
  <conditionalFormatting sqref="N24">
    <cfRule type="containsText" dxfId="624" priority="10" operator="containsText" text="T3">
      <formula>NOT(ISERROR(SEARCH("T3",N24)))</formula>
    </cfRule>
    <cfRule type="containsText" dxfId="623" priority="11" operator="containsText" text="T2">
      <formula>NOT(ISERROR(SEARCH("T2",N24)))</formula>
    </cfRule>
    <cfRule type="containsText" dxfId="622" priority="12" operator="containsText" text="T1">
      <formula>NOT(ISERROR(SEARCH("T1",N24)))</formula>
    </cfRule>
  </conditionalFormatting>
  <conditionalFormatting sqref="N25">
    <cfRule type="containsText" dxfId="621" priority="7" operator="containsText" text="T3">
      <formula>NOT(ISERROR(SEARCH("T3",N25)))</formula>
    </cfRule>
    <cfRule type="containsText" dxfId="620" priority="8" operator="containsText" text="T2">
      <formula>NOT(ISERROR(SEARCH("T2",N25)))</formula>
    </cfRule>
    <cfRule type="containsText" dxfId="619" priority="9" operator="containsText" text="T1">
      <formula>NOT(ISERROR(SEARCH("T1",N25)))</formula>
    </cfRule>
  </conditionalFormatting>
  <conditionalFormatting sqref="AA22">
    <cfRule type="containsText" dxfId="618" priority="6" operator="containsText" text="E1">
      <formula>NOT(ISERROR(SEARCH("E1",AA22)))</formula>
    </cfRule>
  </conditionalFormatting>
  <conditionalFormatting sqref="AA23">
    <cfRule type="containsText" dxfId="617" priority="5" operator="containsText" text="E2">
      <formula>NOT(ISERROR(SEARCH("E2",AA23)))</formula>
    </cfRule>
  </conditionalFormatting>
  <conditionalFormatting sqref="AA24">
    <cfRule type="containsText" dxfId="616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60B261B6-9E67-46B2-A529-30BC433B9191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6EFDF09-B1F3-4896-93FF-272F8E1C9900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9E977CF8-721D-46C9-B8F1-2685AA5E32DB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2DA2DAD5-EBD8-4513-9E2C-33C9E510BAA7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EA5E4EC9-91D0-42D0-AE83-7A24EE0AC7A4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F4EA-EBCA-4374-88BC-7268EDCA0347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QUI</v>
      </c>
      <c r="C7" s="6" t="str">
        <f t="shared" ref="C7:AF7" si="0">UPPER(TEXT(C8,"[$]ddd"))</f>
        <v>SEX</v>
      </c>
      <c r="D7" s="6" t="str">
        <f t="shared" si="0"/>
        <v>SÁB</v>
      </c>
      <c r="E7" s="6" t="str">
        <f t="shared" si="0"/>
        <v>DOM</v>
      </c>
      <c r="F7" s="6" t="str">
        <f t="shared" si="0"/>
        <v>SEG</v>
      </c>
      <c r="G7" s="6" t="str">
        <f t="shared" si="0"/>
        <v>TER</v>
      </c>
      <c r="H7" s="6" t="str">
        <f t="shared" si="0"/>
        <v>QUA</v>
      </c>
      <c r="I7" s="6" t="str">
        <f t="shared" si="0"/>
        <v>QUI</v>
      </c>
      <c r="J7" s="6" t="str">
        <f t="shared" si="0"/>
        <v>SEX</v>
      </c>
      <c r="K7" s="6" t="str">
        <f t="shared" si="0"/>
        <v>SÁB</v>
      </c>
      <c r="L7" s="6" t="str">
        <f t="shared" si="0"/>
        <v>DOM</v>
      </c>
      <c r="M7" s="6" t="str">
        <f t="shared" si="0"/>
        <v>SEG</v>
      </c>
      <c r="N7" s="6" t="str">
        <f t="shared" si="0"/>
        <v>TER</v>
      </c>
      <c r="O7" s="6" t="str">
        <f t="shared" si="0"/>
        <v>QUA</v>
      </c>
      <c r="P7" s="6" t="str">
        <f t="shared" si="0"/>
        <v>QUI</v>
      </c>
      <c r="Q7" s="6" t="str">
        <f t="shared" si="0"/>
        <v>SEX</v>
      </c>
      <c r="R7" s="6" t="str">
        <f t="shared" si="0"/>
        <v>SÁB</v>
      </c>
      <c r="S7" s="6" t="str">
        <f t="shared" si="0"/>
        <v>DOM</v>
      </c>
      <c r="T7" s="6" t="str">
        <f t="shared" si="0"/>
        <v>SEG</v>
      </c>
      <c r="U7" s="6" t="str">
        <f t="shared" si="0"/>
        <v>TER</v>
      </c>
      <c r="V7" s="6" t="str">
        <f t="shared" si="0"/>
        <v>QUA</v>
      </c>
      <c r="W7" s="6" t="str">
        <f t="shared" si="0"/>
        <v>QUI</v>
      </c>
      <c r="X7" s="6" t="str">
        <f t="shared" si="0"/>
        <v>SEX</v>
      </c>
      <c r="Y7" s="6" t="str">
        <f t="shared" si="0"/>
        <v>SÁB</v>
      </c>
      <c r="Z7" s="6" t="str">
        <f t="shared" si="0"/>
        <v>DOM</v>
      </c>
      <c r="AA7" s="6" t="str">
        <f t="shared" si="0"/>
        <v>SEG</v>
      </c>
      <c r="AB7" s="6" t="str">
        <f t="shared" si="0"/>
        <v>TER</v>
      </c>
      <c r="AC7" s="6" t="str">
        <f t="shared" si="0"/>
        <v>QUA</v>
      </c>
      <c r="AD7" s="6" t="str">
        <f t="shared" si="0"/>
        <v>QUI</v>
      </c>
      <c r="AE7" s="6" t="str">
        <f t="shared" si="0"/>
        <v>SEX</v>
      </c>
      <c r="AF7" s="6" t="str">
        <f t="shared" si="0"/>
        <v>SÁB</v>
      </c>
    </row>
    <row r="8" spans="1:32" ht="15.75" thickBot="1" x14ac:dyDescent="0.3">
      <c r="A8" s="99"/>
      <c r="B8" s="56">
        <f>D21</f>
        <v>45323</v>
      </c>
      <c r="C8" s="57">
        <f>B8+1</f>
        <v>45324</v>
      </c>
      <c r="D8" s="57">
        <f t="shared" ref="D8:AF8" si="1">C8+1</f>
        <v>45325</v>
      </c>
      <c r="E8" s="57">
        <f t="shared" si="1"/>
        <v>45326</v>
      </c>
      <c r="F8" s="57">
        <f t="shared" si="1"/>
        <v>45327</v>
      </c>
      <c r="G8" s="57">
        <f t="shared" si="1"/>
        <v>45328</v>
      </c>
      <c r="H8" s="57">
        <f t="shared" si="1"/>
        <v>45329</v>
      </c>
      <c r="I8" s="57">
        <f t="shared" si="1"/>
        <v>45330</v>
      </c>
      <c r="J8" s="57">
        <f t="shared" si="1"/>
        <v>45331</v>
      </c>
      <c r="K8" s="57">
        <f t="shared" si="1"/>
        <v>45332</v>
      </c>
      <c r="L8" s="57">
        <f t="shared" si="1"/>
        <v>45333</v>
      </c>
      <c r="M8" s="57">
        <f t="shared" si="1"/>
        <v>45334</v>
      </c>
      <c r="N8" s="57">
        <f t="shared" si="1"/>
        <v>45335</v>
      </c>
      <c r="O8" s="57">
        <f t="shared" si="1"/>
        <v>45336</v>
      </c>
      <c r="P8" s="57">
        <f t="shared" si="1"/>
        <v>45337</v>
      </c>
      <c r="Q8" s="57">
        <f t="shared" si="1"/>
        <v>45338</v>
      </c>
      <c r="R8" s="57">
        <f t="shared" si="1"/>
        <v>45339</v>
      </c>
      <c r="S8" s="57">
        <f t="shared" si="1"/>
        <v>45340</v>
      </c>
      <c r="T8" s="57">
        <f t="shared" si="1"/>
        <v>45341</v>
      </c>
      <c r="U8" s="57">
        <f t="shared" si="1"/>
        <v>45342</v>
      </c>
      <c r="V8" s="57">
        <f t="shared" si="1"/>
        <v>45343</v>
      </c>
      <c r="W8" s="57">
        <f t="shared" si="1"/>
        <v>45344</v>
      </c>
      <c r="X8" s="57">
        <f t="shared" si="1"/>
        <v>45345</v>
      </c>
      <c r="Y8" s="57">
        <f t="shared" si="1"/>
        <v>45346</v>
      </c>
      <c r="Z8" s="57">
        <f t="shared" si="1"/>
        <v>45347</v>
      </c>
      <c r="AA8" s="57">
        <f t="shared" si="1"/>
        <v>45348</v>
      </c>
      <c r="AB8" s="57">
        <f t="shared" si="1"/>
        <v>45349</v>
      </c>
      <c r="AC8" s="57">
        <f t="shared" si="1"/>
        <v>45350</v>
      </c>
      <c r="AD8" s="57">
        <f t="shared" si="1"/>
        <v>45351</v>
      </c>
      <c r="AE8" s="57">
        <f t="shared" si="1"/>
        <v>45352</v>
      </c>
      <c r="AF8" s="58">
        <f t="shared" si="1"/>
        <v>45353</v>
      </c>
    </row>
    <row r="9" spans="1:32" x14ac:dyDescent="0.25">
      <c r="A9" s="19" t="s">
        <v>2</v>
      </c>
      <c r="B9" s="44" t="s">
        <v>3</v>
      </c>
      <c r="C9" s="45" t="s">
        <v>3</v>
      </c>
      <c r="D9" s="45"/>
      <c r="E9" s="45"/>
      <c r="F9" s="45" t="s">
        <v>3</v>
      </c>
      <c r="G9" s="45" t="s">
        <v>3</v>
      </c>
      <c r="H9" s="45" t="s">
        <v>3</v>
      </c>
      <c r="I9" s="45" t="s">
        <v>3</v>
      </c>
      <c r="J9" s="45" t="s">
        <v>3</v>
      </c>
      <c r="K9" s="45"/>
      <c r="L9" s="45"/>
      <c r="M9" s="45" t="s">
        <v>3</v>
      </c>
      <c r="N9" s="45" t="s">
        <v>3</v>
      </c>
      <c r="O9" s="45" t="s">
        <v>3</v>
      </c>
      <c r="P9" s="45" t="s">
        <v>3</v>
      </c>
      <c r="Q9" s="45" t="s">
        <v>3</v>
      </c>
      <c r="R9" s="45"/>
      <c r="S9" s="45"/>
      <c r="T9" s="45" t="s">
        <v>3</v>
      </c>
      <c r="U9" s="45" t="s">
        <v>3</v>
      </c>
      <c r="V9" s="45" t="s">
        <v>3</v>
      </c>
      <c r="W9" s="45" t="s">
        <v>3</v>
      </c>
      <c r="X9" s="45" t="s">
        <v>3</v>
      </c>
      <c r="Y9" s="45"/>
      <c r="Z9" s="45"/>
      <c r="AA9" s="45" t="s">
        <v>3</v>
      </c>
      <c r="AB9" s="45" t="s">
        <v>3</v>
      </c>
      <c r="AC9" s="45" t="s">
        <v>3</v>
      </c>
      <c r="AD9" s="45" t="s">
        <v>3</v>
      </c>
      <c r="AE9" s="45" t="s">
        <v>3</v>
      </c>
      <c r="AF9" s="55"/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45323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45351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29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615" priority="56">
      <formula>INDIRECT(_xludf.CELL("address"))="$AL$10:$AL$19"</formula>
    </cfRule>
  </conditionalFormatting>
  <conditionalFormatting sqref="B19:AF19">
    <cfRule type="containsText" dxfId="614" priority="55" operator="containsText" text="FE">
      <formula>NOT(ISERROR(SEARCH("FE",B19)))</formula>
    </cfRule>
  </conditionalFormatting>
  <conditionalFormatting sqref="B9:AF18">
    <cfRule type="containsText" dxfId="613" priority="1" operator="containsText" text="E3">
      <formula>NOT(ISERROR(SEARCH("E3",B9)))</formula>
    </cfRule>
    <cfRule type="containsText" dxfId="612" priority="2" operator="containsText" text="E2">
      <formula>NOT(ISERROR(SEARCH("E2",B9)))</formula>
    </cfRule>
    <cfRule type="containsText" dxfId="611" priority="3" operator="containsText" text="E1">
      <formula>NOT(ISERROR(SEARCH("E1",B9)))</formula>
    </cfRule>
    <cfRule type="containsText" dxfId="610" priority="50" operator="containsText" text="DO">
      <formula>NOT(ISERROR(SEARCH("DO",B9)))</formula>
    </cfRule>
    <cfRule type="containsText" dxfId="609" priority="51" operator="containsText" text="VA">
      <formula>NOT(ISERROR(SEARCH("VA",B9)))</formula>
    </cfRule>
    <cfRule type="containsText" dxfId="608" priority="52" operator="containsText" text="T1">
      <formula>NOT(ISERROR(SEARCH("T1",B9)))</formula>
    </cfRule>
    <cfRule type="containsText" dxfId="607" priority="53" operator="containsText" text="T2">
      <formula>NOT(ISERROR(SEARCH("T2",B9)))</formula>
    </cfRule>
    <cfRule type="containsText" dxfId="606" priority="54" operator="containsText" text="T3">
      <formula>NOT(ISERROR(SEARCH("T3",B9)))</formula>
    </cfRule>
  </conditionalFormatting>
  <conditionalFormatting sqref="B8">
    <cfRule type="expression" dxfId="605" priority="49">
      <formula>$B$19="FE"</formula>
    </cfRule>
  </conditionalFormatting>
  <conditionalFormatting sqref="C8">
    <cfRule type="expression" dxfId="604" priority="48">
      <formula>$C$19="FE"</formula>
    </cfRule>
  </conditionalFormatting>
  <conditionalFormatting sqref="D8">
    <cfRule type="expression" dxfId="603" priority="47">
      <formula>$D$19="FE"</formula>
    </cfRule>
  </conditionalFormatting>
  <conditionalFormatting sqref="E8">
    <cfRule type="expression" dxfId="602" priority="46">
      <formula>$E$19="FE"</formula>
    </cfRule>
  </conditionalFormatting>
  <conditionalFormatting sqref="F8">
    <cfRule type="expression" dxfId="601" priority="45">
      <formula>$F$19="FE"</formula>
    </cfRule>
  </conditionalFormatting>
  <conditionalFormatting sqref="G8">
    <cfRule type="expression" dxfId="600" priority="44">
      <formula>$G$19="FE"</formula>
    </cfRule>
  </conditionalFormatting>
  <conditionalFormatting sqref="H8">
    <cfRule type="expression" dxfId="599" priority="43">
      <formula>$H$19="FE"</formula>
    </cfRule>
  </conditionalFormatting>
  <conditionalFormatting sqref="I8">
    <cfRule type="expression" dxfId="598" priority="42">
      <formula>$I$19="FE"</formula>
    </cfRule>
  </conditionalFormatting>
  <conditionalFormatting sqref="J8">
    <cfRule type="expression" dxfId="597" priority="41">
      <formula>$J$19="FE"</formula>
    </cfRule>
  </conditionalFormatting>
  <conditionalFormatting sqref="K8">
    <cfRule type="expression" dxfId="596" priority="40">
      <formula>$K$19="FE"</formula>
    </cfRule>
  </conditionalFormatting>
  <conditionalFormatting sqref="L8">
    <cfRule type="expression" dxfId="595" priority="39">
      <formula>$L$19="FE"</formula>
    </cfRule>
  </conditionalFormatting>
  <conditionalFormatting sqref="M8">
    <cfRule type="expression" dxfId="594" priority="38">
      <formula>$M$19="FE"</formula>
    </cfRule>
  </conditionalFormatting>
  <conditionalFormatting sqref="N8">
    <cfRule type="expression" dxfId="593" priority="37">
      <formula>$N$19="FE"</formula>
    </cfRule>
  </conditionalFormatting>
  <conditionalFormatting sqref="O8">
    <cfRule type="expression" dxfId="592" priority="36">
      <formula>$O$19="FE"</formula>
    </cfRule>
  </conditionalFormatting>
  <conditionalFormatting sqref="P8">
    <cfRule type="expression" dxfId="591" priority="35">
      <formula>$P$19="FE"</formula>
    </cfRule>
  </conditionalFormatting>
  <conditionalFormatting sqref="Q8">
    <cfRule type="expression" dxfId="590" priority="34">
      <formula>$Q$19="FE"</formula>
    </cfRule>
  </conditionalFormatting>
  <conditionalFormatting sqref="R8">
    <cfRule type="expression" dxfId="589" priority="33">
      <formula>$R$19="FE"</formula>
    </cfRule>
  </conditionalFormatting>
  <conditionalFormatting sqref="S8">
    <cfRule type="expression" dxfId="588" priority="32">
      <formula>$S$19="FE"</formula>
    </cfRule>
  </conditionalFormatting>
  <conditionalFormatting sqref="T8">
    <cfRule type="expression" dxfId="587" priority="31">
      <formula>$T$19="FE"</formula>
    </cfRule>
  </conditionalFormatting>
  <conditionalFormatting sqref="U8">
    <cfRule type="expression" dxfId="586" priority="30">
      <formula>$U$19="FE"</formula>
    </cfRule>
  </conditionalFormatting>
  <conditionalFormatting sqref="V8">
    <cfRule type="expression" dxfId="585" priority="29">
      <formula>$V$19="FE"</formula>
    </cfRule>
  </conditionalFormatting>
  <conditionalFormatting sqref="W8">
    <cfRule type="expression" dxfId="584" priority="28">
      <formula>$W$19="FE"</formula>
    </cfRule>
  </conditionalFormatting>
  <conditionalFormatting sqref="X8">
    <cfRule type="expression" dxfId="583" priority="27">
      <formula>$X$19="FE"</formula>
    </cfRule>
  </conditionalFormatting>
  <conditionalFormatting sqref="Y8">
    <cfRule type="expression" dxfId="582" priority="26">
      <formula>$Y$19="FE"</formula>
    </cfRule>
  </conditionalFormatting>
  <conditionalFormatting sqref="Z8">
    <cfRule type="expression" dxfId="581" priority="25">
      <formula>$Z$19="FE"</formula>
    </cfRule>
  </conditionalFormatting>
  <conditionalFormatting sqref="AA8">
    <cfRule type="expression" dxfId="580" priority="24">
      <formula>$AA$19="FE"</formula>
    </cfRule>
  </conditionalFormatting>
  <conditionalFormatting sqref="AB8">
    <cfRule type="expression" dxfId="579" priority="23">
      <formula>$AB$19="FE"</formula>
    </cfRule>
  </conditionalFormatting>
  <conditionalFormatting sqref="AC8">
    <cfRule type="expression" dxfId="578" priority="22">
      <formula>$AC$19="FE"</formula>
    </cfRule>
  </conditionalFormatting>
  <conditionalFormatting sqref="AD8">
    <cfRule type="expression" dxfId="577" priority="21">
      <formula>$AD$19="FE"</formula>
    </cfRule>
  </conditionalFormatting>
  <conditionalFormatting sqref="AE8">
    <cfRule type="expression" dxfId="576" priority="20">
      <formula>$AE$19="FE"</formula>
    </cfRule>
  </conditionalFormatting>
  <conditionalFormatting sqref="AF8">
    <cfRule type="expression" dxfId="575" priority="19">
      <formula>$AF$19="FE"</formula>
    </cfRule>
  </conditionalFormatting>
  <conditionalFormatting sqref="B7:AF7">
    <cfRule type="containsText" dxfId="574" priority="17" operator="containsText" text="DOM">
      <formula>NOT(ISERROR(SEARCH("DOM",B7)))</formula>
    </cfRule>
    <cfRule type="containsText" dxfId="573" priority="18" operator="containsText" text="SÁB">
      <formula>NOT(ISERROR(SEARCH("SÁB",B7)))</formula>
    </cfRule>
  </conditionalFormatting>
  <conditionalFormatting sqref="J23">
    <cfRule type="containsText" dxfId="572" priority="16" operator="containsText" text="FE">
      <formula>NOT(ISERROR(SEARCH("FE",J23)))</formula>
    </cfRule>
  </conditionalFormatting>
  <conditionalFormatting sqref="N21">
    <cfRule type="containsText" dxfId="571" priority="13" operator="containsText" text="T3">
      <formula>NOT(ISERROR(SEARCH("T3",N21)))</formula>
    </cfRule>
    <cfRule type="containsText" dxfId="570" priority="14" operator="containsText" text="T2">
      <formula>NOT(ISERROR(SEARCH("T2",N21)))</formula>
    </cfRule>
    <cfRule type="containsText" dxfId="569" priority="15" operator="containsText" text="T1">
      <formula>NOT(ISERROR(SEARCH("T1",N21)))</formula>
    </cfRule>
  </conditionalFormatting>
  <conditionalFormatting sqref="N24">
    <cfRule type="containsText" dxfId="568" priority="10" operator="containsText" text="T3">
      <formula>NOT(ISERROR(SEARCH("T3",N24)))</formula>
    </cfRule>
    <cfRule type="containsText" dxfId="567" priority="11" operator="containsText" text="T2">
      <formula>NOT(ISERROR(SEARCH("T2",N24)))</formula>
    </cfRule>
    <cfRule type="containsText" dxfId="566" priority="12" operator="containsText" text="T1">
      <formula>NOT(ISERROR(SEARCH("T1",N24)))</formula>
    </cfRule>
  </conditionalFormatting>
  <conditionalFormatting sqref="N25">
    <cfRule type="containsText" dxfId="565" priority="7" operator="containsText" text="T3">
      <formula>NOT(ISERROR(SEARCH("T3",N25)))</formula>
    </cfRule>
    <cfRule type="containsText" dxfId="564" priority="8" operator="containsText" text="T2">
      <formula>NOT(ISERROR(SEARCH("T2",N25)))</formula>
    </cfRule>
    <cfRule type="containsText" dxfId="563" priority="9" operator="containsText" text="T1">
      <formula>NOT(ISERROR(SEARCH("T1",N25)))</formula>
    </cfRule>
  </conditionalFormatting>
  <conditionalFormatting sqref="AA22">
    <cfRule type="containsText" dxfId="562" priority="6" operator="containsText" text="E1">
      <formula>NOT(ISERROR(SEARCH("E1",AA22)))</formula>
    </cfRule>
  </conditionalFormatting>
  <conditionalFormatting sqref="AA23">
    <cfRule type="containsText" dxfId="561" priority="5" operator="containsText" text="E2">
      <formula>NOT(ISERROR(SEARCH("E2",AA23)))</formula>
    </cfRule>
  </conditionalFormatting>
  <conditionalFormatting sqref="AA24">
    <cfRule type="containsText" dxfId="560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E71587E0-3FCD-4E8F-8B17-DE2C41B4A712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3BE676D-465B-4226-A11F-6AE9BC64E620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11CB0435-4EAA-41C6-9F3B-EE79C39F25B5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755E72D8-D0AE-4133-92F6-6D93B329C293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5EE85A4A-9C55-46FD-ABA1-75EBC26BD4B4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4D26E-9366-4543-A63D-876A41807954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SEX</v>
      </c>
      <c r="C7" s="6" t="str">
        <f t="shared" ref="C7:AF7" si="0">UPPER(TEXT(C8,"[$]ddd"))</f>
        <v>SÁB</v>
      </c>
      <c r="D7" s="6" t="str">
        <f t="shared" si="0"/>
        <v>DOM</v>
      </c>
      <c r="E7" s="6" t="str">
        <f t="shared" si="0"/>
        <v>SEG</v>
      </c>
      <c r="F7" s="6" t="str">
        <f t="shared" si="0"/>
        <v>TER</v>
      </c>
      <c r="G7" s="6" t="str">
        <f t="shared" si="0"/>
        <v>QUA</v>
      </c>
      <c r="H7" s="6" t="str">
        <f t="shared" si="0"/>
        <v>QUI</v>
      </c>
      <c r="I7" s="6" t="str">
        <f t="shared" si="0"/>
        <v>SEX</v>
      </c>
      <c r="J7" s="6" t="str">
        <f t="shared" si="0"/>
        <v>SÁB</v>
      </c>
      <c r="K7" s="6" t="str">
        <f t="shared" si="0"/>
        <v>DOM</v>
      </c>
      <c r="L7" s="6" t="str">
        <f t="shared" si="0"/>
        <v>SEG</v>
      </c>
      <c r="M7" s="6" t="str">
        <f t="shared" si="0"/>
        <v>TER</v>
      </c>
      <c r="N7" s="6" t="str">
        <f t="shared" si="0"/>
        <v>QUA</v>
      </c>
      <c r="O7" s="6" t="str">
        <f t="shared" si="0"/>
        <v>QUI</v>
      </c>
      <c r="P7" s="6" t="str">
        <f t="shared" si="0"/>
        <v>SEX</v>
      </c>
      <c r="Q7" s="6" t="str">
        <f t="shared" si="0"/>
        <v>SÁB</v>
      </c>
      <c r="R7" s="6" t="str">
        <f t="shared" si="0"/>
        <v>DOM</v>
      </c>
      <c r="S7" s="6" t="str">
        <f t="shared" si="0"/>
        <v>SEG</v>
      </c>
      <c r="T7" s="6" t="str">
        <f t="shared" si="0"/>
        <v>TER</v>
      </c>
      <c r="U7" s="6" t="str">
        <f t="shared" si="0"/>
        <v>QUA</v>
      </c>
      <c r="V7" s="6" t="str">
        <f t="shared" si="0"/>
        <v>QUI</v>
      </c>
      <c r="W7" s="6" t="str">
        <f t="shared" si="0"/>
        <v>SEX</v>
      </c>
      <c r="X7" s="6" t="str">
        <f t="shared" si="0"/>
        <v>SÁB</v>
      </c>
      <c r="Y7" s="6" t="str">
        <f t="shared" si="0"/>
        <v>DOM</v>
      </c>
      <c r="Z7" s="6" t="str">
        <f t="shared" si="0"/>
        <v>SEG</v>
      </c>
      <c r="AA7" s="6" t="str">
        <f t="shared" si="0"/>
        <v>TER</v>
      </c>
      <c r="AB7" s="6" t="str">
        <f t="shared" si="0"/>
        <v>QUA</v>
      </c>
      <c r="AC7" s="6" t="str">
        <f t="shared" si="0"/>
        <v>QUI</v>
      </c>
      <c r="AD7" s="6" t="str">
        <f t="shared" si="0"/>
        <v>SEX</v>
      </c>
      <c r="AE7" s="6" t="str">
        <f t="shared" si="0"/>
        <v>SÁB</v>
      </c>
      <c r="AF7" s="6" t="str">
        <f t="shared" si="0"/>
        <v>DOM</v>
      </c>
    </row>
    <row r="8" spans="1:32" ht="15.75" thickBot="1" x14ac:dyDescent="0.3">
      <c r="A8" s="99"/>
      <c r="B8" s="56">
        <f>D21</f>
        <v>45352</v>
      </c>
      <c r="C8" s="57">
        <f>B8+1</f>
        <v>45353</v>
      </c>
      <c r="D8" s="57">
        <f t="shared" ref="D8:AF8" si="1">C8+1</f>
        <v>45354</v>
      </c>
      <c r="E8" s="57">
        <f t="shared" si="1"/>
        <v>45355</v>
      </c>
      <c r="F8" s="57">
        <f t="shared" si="1"/>
        <v>45356</v>
      </c>
      <c r="G8" s="57">
        <f t="shared" si="1"/>
        <v>45357</v>
      </c>
      <c r="H8" s="57">
        <f t="shared" si="1"/>
        <v>45358</v>
      </c>
      <c r="I8" s="57">
        <f t="shared" si="1"/>
        <v>45359</v>
      </c>
      <c r="J8" s="57">
        <f t="shared" si="1"/>
        <v>45360</v>
      </c>
      <c r="K8" s="57">
        <f t="shared" si="1"/>
        <v>45361</v>
      </c>
      <c r="L8" s="57">
        <f t="shared" si="1"/>
        <v>45362</v>
      </c>
      <c r="M8" s="57">
        <f t="shared" si="1"/>
        <v>45363</v>
      </c>
      <c r="N8" s="57">
        <f t="shared" si="1"/>
        <v>45364</v>
      </c>
      <c r="O8" s="57">
        <f t="shared" si="1"/>
        <v>45365</v>
      </c>
      <c r="P8" s="57">
        <f t="shared" si="1"/>
        <v>45366</v>
      </c>
      <c r="Q8" s="57">
        <f t="shared" si="1"/>
        <v>45367</v>
      </c>
      <c r="R8" s="57">
        <f t="shared" si="1"/>
        <v>45368</v>
      </c>
      <c r="S8" s="57">
        <f t="shared" si="1"/>
        <v>45369</v>
      </c>
      <c r="T8" s="57">
        <f t="shared" si="1"/>
        <v>45370</v>
      </c>
      <c r="U8" s="57">
        <f t="shared" si="1"/>
        <v>45371</v>
      </c>
      <c r="V8" s="57">
        <f t="shared" si="1"/>
        <v>45372</v>
      </c>
      <c r="W8" s="57">
        <f t="shared" si="1"/>
        <v>45373</v>
      </c>
      <c r="X8" s="57">
        <f t="shared" si="1"/>
        <v>45374</v>
      </c>
      <c r="Y8" s="57">
        <f t="shared" si="1"/>
        <v>45375</v>
      </c>
      <c r="Z8" s="57">
        <f t="shared" si="1"/>
        <v>45376</v>
      </c>
      <c r="AA8" s="57">
        <f t="shared" si="1"/>
        <v>45377</v>
      </c>
      <c r="AB8" s="57">
        <f t="shared" si="1"/>
        <v>45378</v>
      </c>
      <c r="AC8" s="57">
        <f t="shared" si="1"/>
        <v>45379</v>
      </c>
      <c r="AD8" s="57">
        <f t="shared" si="1"/>
        <v>45380</v>
      </c>
      <c r="AE8" s="57">
        <f t="shared" si="1"/>
        <v>45381</v>
      </c>
      <c r="AF8" s="58">
        <f t="shared" si="1"/>
        <v>45382</v>
      </c>
    </row>
    <row r="9" spans="1:32" x14ac:dyDescent="0.25">
      <c r="A9" s="19" t="s">
        <v>2</v>
      </c>
      <c r="B9" s="44" t="s">
        <v>3</v>
      </c>
      <c r="C9" s="45"/>
      <c r="D9" s="45"/>
      <c r="E9" s="45" t="s">
        <v>3</v>
      </c>
      <c r="F9" s="45" t="s">
        <v>3</v>
      </c>
      <c r="G9" s="45" t="s">
        <v>3</v>
      </c>
      <c r="H9" s="45" t="s">
        <v>3</v>
      </c>
      <c r="I9" s="45" t="s">
        <v>3</v>
      </c>
      <c r="J9" s="45"/>
      <c r="K9" s="45"/>
      <c r="L9" s="45" t="s">
        <v>3</v>
      </c>
      <c r="M9" s="45" t="s">
        <v>3</v>
      </c>
      <c r="N9" s="45" t="s">
        <v>3</v>
      </c>
      <c r="O9" s="45" t="s">
        <v>3</v>
      </c>
      <c r="P9" s="45" t="s">
        <v>3</v>
      </c>
      <c r="Q9" s="45"/>
      <c r="R9" s="45"/>
      <c r="S9" s="45" t="s">
        <v>3</v>
      </c>
      <c r="T9" s="45" t="s">
        <v>3</v>
      </c>
      <c r="U9" s="45" t="s">
        <v>3</v>
      </c>
      <c r="V9" s="45" t="s">
        <v>3</v>
      </c>
      <c r="W9" s="45" t="s">
        <v>3</v>
      </c>
      <c r="X9" s="45"/>
      <c r="Y9" s="45"/>
      <c r="Z9" s="45" t="s">
        <v>3</v>
      </c>
      <c r="AA9" s="45" t="s">
        <v>3</v>
      </c>
      <c r="AB9" s="45" t="s">
        <v>3</v>
      </c>
      <c r="AC9" s="45" t="s">
        <v>3</v>
      </c>
      <c r="AD9" s="45" t="s">
        <v>3</v>
      </c>
      <c r="AE9" s="45"/>
      <c r="AF9" s="55"/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45352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45382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31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559" priority="56">
      <formula>INDIRECT(_xludf.CELL("address"))="$AL$10:$AL$19"</formula>
    </cfRule>
  </conditionalFormatting>
  <conditionalFormatting sqref="B19:AF19">
    <cfRule type="containsText" dxfId="558" priority="55" operator="containsText" text="FE">
      <formula>NOT(ISERROR(SEARCH("FE",B19)))</formula>
    </cfRule>
  </conditionalFormatting>
  <conditionalFormatting sqref="B9:AF18">
    <cfRule type="containsText" dxfId="557" priority="1" operator="containsText" text="E3">
      <formula>NOT(ISERROR(SEARCH("E3",B9)))</formula>
    </cfRule>
    <cfRule type="containsText" dxfId="556" priority="2" operator="containsText" text="E2">
      <formula>NOT(ISERROR(SEARCH("E2",B9)))</formula>
    </cfRule>
    <cfRule type="containsText" dxfId="555" priority="3" operator="containsText" text="E1">
      <formula>NOT(ISERROR(SEARCH("E1",B9)))</formula>
    </cfRule>
    <cfRule type="containsText" dxfId="554" priority="50" operator="containsText" text="DO">
      <formula>NOT(ISERROR(SEARCH("DO",B9)))</formula>
    </cfRule>
    <cfRule type="containsText" dxfId="553" priority="51" operator="containsText" text="VA">
      <formula>NOT(ISERROR(SEARCH("VA",B9)))</formula>
    </cfRule>
    <cfRule type="containsText" dxfId="552" priority="52" operator="containsText" text="T1">
      <formula>NOT(ISERROR(SEARCH("T1",B9)))</formula>
    </cfRule>
    <cfRule type="containsText" dxfId="551" priority="53" operator="containsText" text="T2">
      <formula>NOT(ISERROR(SEARCH("T2",B9)))</formula>
    </cfRule>
    <cfRule type="containsText" dxfId="550" priority="54" operator="containsText" text="T3">
      <formula>NOT(ISERROR(SEARCH("T3",B9)))</formula>
    </cfRule>
  </conditionalFormatting>
  <conditionalFormatting sqref="B8">
    <cfRule type="expression" dxfId="549" priority="49">
      <formula>$B$19="FE"</formula>
    </cfRule>
  </conditionalFormatting>
  <conditionalFormatting sqref="C8">
    <cfRule type="expression" dxfId="548" priority="48">
      <formula>$C$19="FE"</formula>
    </cfRule>
  </conditionalFormatting>
  <conditionalFormatting sqref="D8">
    <cfRule type="expression" dxfId="547" priority="47">
      <formula>$D$19="FE"</formula>
    </cfRule>
  </conditionalFormatting>
  <conditionalFormatting sqref="E8">
    <cfRule type="expression" dxfId="546" priority="46">
      <formula>$E$19="FE"</formula>
    </cfRule>
  </conditionalFormatting>
  <conditionalFormatting sqref="F8">
    <cfRule type="expression" dxfId="545" priority="45">
      <formula>$F$19="FE"</formula>
    </cfRule>
  </conditionalFormatting>
  <conditionalFormatting sqref="G8">
    <cfRule type="expression" dxfId="544" priority="44">
      <formula>$G$19="FE"</formula>
    </cfRule>
  </conditionalFormatting>
  <conditionalFormatting sqref="H8">
    <cfRule type="expression" dxfId="543" priority="43">
      <formula>$H$19="FE"</formula>
    </cfRule>
  </conditionalFormatting>
  <conditionalFormatting sqref="I8">
    <cfRule type="expression" dxfId="542" priority="42">
      <formula>$I$19="FE"</formula>
    </cfRule>
  </conditionalFormatting>
  <conditionalFormatting sqref="J8">
    <cfRule type="expression" dxfId="541" priority="41">
      <formula>$J$19="FE"</formula>
    </cfRule>
  </conditionalFormatting>
  <conditionalFormatting sqref="K8">
    <cfRule type="expression" dxfId="540" priority="40">
      <formula>$K$19="FE"</formula>
    </cfRule>
  </conditionalFormatting>
  <conditionalFormatting sqref="L8">
    <cfRule type="expression" dxfId="539" priority="39">
      <formula>$L$19="FE"</formula>
    </cfRule>
  </conditionalFormatting>
  <conditionalFormatting sqref="M8">
    <cfRule type="expression" dxfId="538" priority="38">
      <formula>$M$19="FE"</formula>
    </cfRule>
  </conditionalFormatting>
  <conditionalFormatting sqref="N8">
    <cfRule type="expression" dxfId="537" priority="37">
      <formula>$N$19="FE"</formula>
    </cfRule>
  </conditionalFormatting>
  <conditionalFormatting sqref="O8">
    <cfRule type="expression" dxfId="536" priority="36">
      <formula>$O$19="FE"</formula>
    </cfRule>
  </conditionalFormatting>
  <conditionalFormatting sqref="P8">
    <cfRule type="expression" dxfId="535" priority="35">
      <formula>$P$19="FE"</formula>
    </cfRule>
  </conditionalFormatting>
  <conditionalFormatting sqref="Q8">
    <cfRule type="expression" dxfId="534" priority="34">
      <formula>$Q$19="FE"</formula>
    </cfRule>
  </conditionalFormatting>
  <conditionalFormatting sqref="R8">
    <cfRule type="expression" dxfId="533" priority="33">
      <formula>$R$19="FE"</formula>
    </cfRule>
  </conditionalFormatting>
  <conditionalFormatting sqref="S8">
    <cfRule type="expression" dxfId="532" priority="32">
      <formula>$S$19="FE"</formula>
    </cfRule>
  </conditionalFormatting>
  <conditionalFormatting sqref="T8">
    <cfRule type="expression" dxfId="531" priority="31">
      <formula>$T$19="FE"</formula>
    </cfRule>
  </conditionalFormatting>
  <conditionalFormatting sqref="U8">
    <cfRule type="expression" dxfId="530" priority="30">
      <formula>$U$19="FE"</formula>
    </cfRule>
  </conditionalFormatting>
  <conditionalFormatting sqref="V8">
    <cfRule type="expression" dxfId="529" priority="29">
      <formula>$V$19="FE"</formula>
    </cfRule>
  </conditionalFormatting>
  <conditionalFormatting sqref="W8">
    <cfRule type="expression" dxfId="528" priority="28">
      <formula>$W$19="FE"</formula>
    </cfRule>
  </conditionalFormatting>
  <conditionalFormatting sqref="X8">
    <cfRule type="expression" dxfId="527" priority="27">
      <formula>$X$19="FE"</formula>
    </cfRule>
  </conditionalFormatting>
  <conditionalFormatting sqref="Y8">
    <cfRule type="expression" dxfId="526" priority="26">
      <formula>$Y$19="FE"</formula>
    </cfRule>
  </conditionalFormatting>
  <conditionalFormatting sqref="Z8">
    <cfRule type="expression" dxfId="525" priority="25">
      <formula>$Z$19="FE"</formula>
    </cfRule>
  </conditionalFormatting>
  <conditionalFormatting sqref="AA8">
    <cfRule type="expression" dxfId="524" priority="24">
      <formula>$AA$19="FE"</formula>
    </cfRule>
  </conditionalFormatting>
  <conditionalFormatting sqref="AB8">
    <cfRule type="expression" dxfId="523" priority="23">
      <formula>$AB$19="FE"</formula>
    </cfRule>
  </conditionalFormatting>
  <conditionalFormatting sqref="AC8">
    <cfRule type="expression" dxfId="522" priority="22">
      <formula>$AC$19="FE"</formula>
    </cfRule>
  </conditionalFormatting>
  <conditionalFormatting sqref="AD8">
    <cfRule type="expression" dxfId="521" priority="21">
      <formula>$AD$19="FE"</formula>
    </cfRule>
  </conditionalFormatting>
  <conditionalFormatting sqref="AE8">
    <cfRule type="expression" dxfId="520" priority="20">
      <formula>$AE$19="FE"</formula>
    </cfRule>
  </conditionalFormatting>
  <conditionalFormatting sqref="AF8">
    <cfRule type="expression" dxfId="519" priority="19">
      <formula>$AF$19="FE"</formula>
    </cfRule>
  </conditionalFormatting>
  <conditionalFormatting sqref="B7:AF7">
    <cfRule type="containsText" dxfId="518" priority="17" operator="containsText" text="DOM">
      <formula>NOT(ISERROR(SEARCH("DOM",B7)))</formula>
    </cfRule>
    <cfRule type="containsText" dxfId="517" priority="18" operator="containsText" text="SÁB">
      <formula>NOT(ISERROR(SEARCH("SÁB",B7)))</formula>
    </cfRule>
  </conditionalFormatting>
  <conditionalFormatting sqref="J23">
    <cfRule type="containsText" dxfId="516" priority="16" operator="containsText" text="FE">
      <formula>NOT(ISERROR(SEARCH("FE",J23)))</formula>
    </cfRule>
  </conditionalFormatting>
  <conditionalFormatting sqref="N21">
    <cfRule type="containsText" dxfId="515" priority="13" operator="containsText" text="T3">
      <formula>NOT(ISERROR(SEARCH("T3",N21)))</formula>
    </cfRule>
    <cfRule type="containsText" dxfId="514" priority="14" operator="containsText" text="T2">
      <formula>NOT(ISERROR(SEARCH("T2",N21)))</formula>
    </cfRule>
    <cfRule type="containsText" dxfId="513" priority="15" operator="containsText" text="T1">
      <formula>NOT(ISERROR(SEARCH("T1",N21)))</formula>
    </cfRule>
  </conditionalFormatting>
  <conditionalFormatting sqref="N24">
    <cfRule type="containsText" dxfId="512" priority="10" operator="containsText" text="T3">
      <formula>NOT(ISERROR(SEARCH("T3",N24)))</formula>
    </cfRule>
    <cfRule type="containsText" dxfId="511" priority="11" operator="containsText" text="T2">
      <formula>NOT(ISERROR(SEARCH("T2",N24)))</formula>
    </cfRule>
    <cfRule type="containsText" dxfId="510" priority="12" operator="containsText" text="T1">
      <formula>NOT(ISERROR(SEARCH("T1",N24)))</formula>
    </cfRule>
  </conditionalFormatting>
  <conditionalFormatting sqref="N25">
    <cfRule type="containsText" dxfId="509" priority="7" operator="containsText" text="T3">
      <formula>NOT(ISERROR(SEARCH("T3",N25)))</formula>
    </cfRule>
    <cfRule type="containsText" dxfId="508" priority="8" operator="containsText" text="T2">
      <formula>NOT(ISERROR(SEARCH("T2",N25)))</formula>
    </cfRule>
    <cfRule type="containsText" dxfId="507" priority="9" operator="containsText" text="T1">
      <formula>NOT(ISERROR(SEARCH("T1",N25)))</formula>
    </cfRule>
  </conditionalFormatting>
  <conditionalFormatting sqref="AA22">
    <cfRule type="containsText" dxfId="506" priority="6" operator="containsText" text="E1">
      <formula>NOT(ISERROR(SEARCH("E1",AA22)))</formula>
    </cfRule>
  </conditionalFormatting>
  <conditionalFormatting sqref="AA23">
    <cfRule type="containsText" dxfId="505" priority="5" operator="containsText" text="E2">
      <formula>NOT(ISERROR(SEARCH("E2",AA23)))</formula>
    </cfRule>
  </conditionalFormatting>
  <conditionalFormatting sqref="AA24">
    <cfRule type="containsText" dxfId="504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F9B259DE-1DAE-43DF-9B8B-699721685A13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2C158D3-56D5-4C53-91EE-05CAF2B59B1C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FE5074FB-4AD1-4115-B2BE-5B214E661DEF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4DD8ED82-43CD-439F-8670-C3B6D92412D9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35CD2E55-60C5-45CE-9966-266106A07796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22DE0-40B6-4A97-A222-5E4C1F891510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SEG</v>
      </c>
      <c r="C7" s="6" t="str">
        <f t="shared" ref="C7:AF7" si="0">UPPER(TEXT(C8,"[$]ddd"))</f>
        <v>TER</v>
      </c>
      <c r="D7" s="6" t="str">
        <f t="shared" si="0"/>
        <v>QUA</v>
      </c>
      <c r="E7" s="6" t="str">
        <f t="shared" si="0"/>
        <v>QUI</v>
      </c>
      <c r="F7" s="6" t="str">
        <f t="shared" si="0"/>
        <v>SEX</v>
      </c>
      <c r="G7" s="6" t="str">
        <f t="shared" si="0"/>
        <v>SÁB</v>
      </c>
      <c r="H7" s="6" t="str">
        <f t="shared" si="0"/>
        <v>DOM</v>
      </c>
      <c r="I7" s="6" t="str">
        <f t="shared" si="0"/>
        <v>SEG</v>
      </c>
      <c r="J7" s="6" t="str">
        <f t="shared" si="0"/>
        <v>TER</v>
      </c>
      <c r="K7" s="6" t="str">
        <f t="shared" si="0"/>
        <v>QUA</v>
      </c>
      <c r="L7" s="6" t="str">
        <f t="shared" si="0"/>
        <v>QUI</v>
      </c>
      <c r="M7" s="6" t="str">
        <f t="shared" si="0"/>
        <v>SEX</v>
      </c>
      <c r="N7" s="6" t="str">
        <f t="shared" si="0"/>
        <v>SÁB</v>
      </c>
      <c r="O7" s="6" t="str">
        <f t="shared" si="0"/>
        <v>DOM</v>
      </c>
      <c r="P7" s="6" t="str">
        <f t="shared" si="0"/>
        <v>SEG</v>
      </c>
      <c r="Q7" s="6" t="str">
        <f t="shared" si="0"/>
        <v>TER</v>
      </c>
      <c r="R7" s="6" t="str">
        <f t="shared" si="0"/>
        <v>QUA</v>
      </c>
      <c r="S7" s="6" t="str">
        <f t="shared" si="0"/>
        <v>QUI</v>
      </c>
      <c r="T7" s="6" t="str">
        <f t="shared" si="0"/>
        <v>SEX</v>
      </c>
      <c r="U7" s="6" t="str">
        <f t="shared" si="0"/>
        <v>SÁB</v>
      </c>
      <c r="V7" s="6" t="str">
        <f t="shared" si="0"/>
        <v>DOM</v>
      </c>
      <c r="W7" s="6" t="str">
        <f t="shared" si="0"/>
        <v>SEG</v>
      </c>
      <c r="X7" s="6" t="str">
        <f t="shared" si="0"/>
        <v>TER</v>
      </c>
      <c r="Y7" s="6" t="str">
        <f t="shared" si="0"/>
        <v>QUA</v>
      </c>
      <c r="Z7" s="6" t="str">
        <f t="shared" si="0"/>
        <v>QUI</v>
      </c>
      <c r="AA7" s="6" t="str">
        <f t="shared" si="0"/>
        <v>SEX</v>
      </c>
      <c r="AB7" s="6" t="str">
        <f t="shared" si="0"/>
        <v>SÁB</v>
      </c>
      <c r="AC7" s="6" t="str">
        <f t="shared" si="0"/>
        <v>DOM</v>
      </c>
      <c r="AD7" s="6" t="str">
        <f t="shared" si="0"/>
        <v>SEG</v>
      </c>
      <c r="AE7" s="6" t="str">
        <f t="shared" si="0"/>
        <v>TER</v>
      </c>
      <c r="AF7" s="6" t="str">
        <f t="shared" si="0"/>
        <v>QUA</v>
      </c>
    </row>
    <row r="8" spans="1:32" ht="15.75" thickBot="1" x14ac:dyDescent="0.3">
      <c r="A8" s="99"/>
      <c r="B8" s="56">
        <f>D21</f>
        <v>45383</v>
      </c>
      <c r="C8" s="57">
        <f>B8+1</f>
        <v>45384</v>
      </c>
      <c r="D8" s="57">
        <f t="shared" ref="D8:AF8" si="1">C8+1</f>
        <v>45385</v>
      </c>
      <c r="E8" s="57">
        <f t="shared" si="1"/>
        <v>45386</v>
      </c>
      <c r="F8" s="57">
        <f t="shared" si="1"/>
        <v>45387</v>
      </c>
      <c r="G8" s="57">
        <f t="shared" si="1"/>
        <v>45388</v>
      </c>
      <c r="H8" s="57">
        <f t="shared" si="1"/>
        <v>45389</v>
      </c>
      <c r="I8" s="57">
        <f t="shared" si="1"/>
        <v>45390</v>
      </c>
      <c r="J8" s="57">
        <f t="shared" si="1"/>
        <v>45391</v>
      </c>
      <c r="K8" s="57">
        <f t="shared" si="1"/>
        <v>45392</v>
      </c>
      <c r="L8" s="57">
        <f t="shared" si="1"/>
        <v>45393</v>
      </c>
      <c r="M8" s="57">
        <f t="shared" si="1"/>
        <v>45394</v>
      </c>
      <c r="N8" s="57">
        <f t="shared" si="1"/>
        <v>45395</v>
      </c>
      <c r="O8" s="57">
        <f t="shared" si="1"/>
        <v>45396</v>
      </c>
      <c r="P8" s="57">
        <f t="shared" si="1"/>
        <v>45397</v>
      </c>
      <c r="Q8" s="57">
        <f t="shared" si="1"/>
        <v>45398</v>
      </c>
      <c r="R8" s="57">
        <f t="shared" si="1"/>
        <v>45399</v>
      </c>
      <c r="S8" s="57">
        <f t="shared" si="1"/>
        <v>45400</v>
      </c>
      <c r="T8" s="57">
        <f t="shared" si="1"/>
        <v>45401</v>
      </c>
      <c r="U8" s="57">
        <f t="shared" si="1"/>
        <v>45402</v>
      </c>
      <c r="V8" s="57">
        <f t="shared" si="1"/>
        <v>45403</v>
      </c>
      <c r="W8" s="57">
        <f t="shared" si="1"/>
        <v>45404</v>
      </c>
      <c r="X8" s="57">
        <f t="shared" si="1"/>
        <v>45405</v>
      </c>
      <c r="Y8" s="57">
        <f t="shared" si="1"/>
        <v>45406</v>
      </c>
      <c r="Z8" s="57">
        <f t="shared" si="1"/>
        <v>45407</v>
      </c>
      <c r="AA8" s="57">
        <f t="shared" si="1"/>
        <v>45408</v>
      </c>
      <c r="AB8" s="57">
        <f t="shared" si="1"/>
        <v>45409</v>
      </c>
      <c r="AC8" s="57">
        <f t="shared" si="1"/>
        <v>45410</v>
      </c>
      <c r="AD8" s="57">
        <f t="shared" si="1"/>
        <v>45411</v>
      </c>
      <c r="AE8" s="57">
        <f t="shared" si="1"/>
        <v>45412</v>
      </c>
      <c r="AF8" s="58">
        <f t="shared" si="1"/>
        <v>45413</v>
      </c>
    </row>
    <row r="9" spans="1:32" x14ac:dyDescent="0.25">
      <c r="A9" s="19" t="s">
        <v>2</v>
      </c>
      <c r="B9" s="44" t="s">
        <v>3</v>
      </c>
      <c r="C9" s="45" t="s">
        <v>3</v>
      </c>
      <c r="D9" s="45" t="s">
        <v>3</v>
      </c>
      <c r="E9" s="45" t="s">
        <v>3</v>
      </c>
      <c r="F9" s="45" t="s">
        <v>3</v>
      </c>
      <c r="G9" s="45"/>
      <c r="H9" s="45"/>
      <c r="I9" s="45" t="s">
        <v>3</v>
      </c>
      <c r="J9" s="45" t="s">
        <v>3</v>
      </c>
      <c r="K9" s="45" t="s">
        <v>3</v>
      </c>
      <c r="L9" s="45" t="s">
        <v>3</v>
      </c>
      <c r="M9" s="45" t="s">
        <v>3</v>
      </c>
      <c r="N9" s="45"/>
      <c r="O9" s="45"/>
      <c r="P9" s="45" t="s">
        <v>3</v>
      </c>
      <c r="Q9" s="45" t="s">
        <v>3</v>
      </c>
      <c r="R9" s="45" t="s">
        <v>3</v>
      </c>
      <c r="S9" s="45" t="s">
        <v>3</v>
      </c>
      <c r="T9" s="45" t="s">
        <v>3</v>
      </c>
      <c r="U9" s="45"/>
      <c r="V9" s="45"/>
      <c r="W9" s="45" t="s">
        <v>3</v>
      </c>
      <c r="X9" s="45" t="s">
        <v>3</v>
      </c>
      <c r="Y9" s="45" t="s">
        <v>3</v>
      </c>
      <c r="Z9" s="45" t="s">
        <v>3</v>
      </c>
      <c r="AA9" s="45" t="s">
        <v>3</v>
      </c>
      <c r="AB9" s="45"/>
      <c r="AC9" s="45"/>
      <c r="AD9" s="45" t="s">
        <v>3</v>
      </c>
      <c r="AE9" s="45" t="s">
        <v>3</v>
      </c>
      <c r="AF9" s="55" t="s">
        <v>3</v>
      </c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>FE</v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45383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45412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30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503" priority="56">
      <formula>INDIRECT(_xludf.CELL("address"))="$AL$10:$AL$19"</formula>
    </cfRule>
  </conditionalFormatting>
  <conditionalFormatting sqref="B19:AF19">
    <cfRule type="containsText" dxfId="502" priority="55" operator="containsText" text="FE">
      <formula>NOT(ISERROR(SEARCH("FE",B19)))</formula>
    </cfRule>
  </conditionalFormatting>
  <conditionalFormatting sqref="B9:AF18">
    <cfRule type="containsText" dxfId="501" priority="1" operator="containsText" text="E3">
      <formula>NOT(ISERROR(SEARCH("E3",B9)))</formula>
    </cfRule>
    <cfRule type="containsText" dxfId="500" priority="2" operator="containsText" text="E2">
      <formula>NOT(ISERROR(SEARCH("E2",B9)))</formula>
    </cfRule>
    <cfRule type="containsText" dxfId="499" priority="3" operator="containsText" text="E1">
      <formula>NOT(ISERROR(SEARCH("E1",B9)))</formula>
    </cfRule>
    <cfRule type="containsText" dxfId="498" priority="50" operator="containsText" text="DO">
      <formula>NOT(ISERROR(SEARCH("DO",B9)))</formula>
    </cfRule>
    <cfRule type="containsText" dxfId="497" priority="51" operator="containsText" text="VA">
      <formula>NOT(ISERROR(SEARCH("VA",B9)))</formula>
    </cfRule>
    <cfRule type="containsText" dxfId="496" priority="52" operator="containsText" text="T1">
      <formula>NOT(ISERROR(SEARCH("T1",B9)))</formula>
    </cfRule>
    <cfRule type="containsText" dxfId="495" priority="53" operator="containsText" text="T2">
      <formula>NOT(ISERROR(SEARCH("T2",B9)))</formula>
    </cfRule>
    <cfRule type="containsText" dxfId="494" priority="54" operator="containsText" text="T3">
      <formula>NOT(ISERROR(SEARCH("T3",B9)))</formula>
    </cfRule>
  </conditionalFormatting>
  <conditionalFormatting sqref="B8">
    <cfRule type="expression" dxfId="493" priority="49">
      <formula>$B$19="FE"</formula>
    </cfRule>
  </conditionalFormatting>
  <conditionalFormatting sqref="C8">
    <cfRule type="expression" dxfId="492" priority="48">
      <formula>$C$19="FE"</formula>
    </cfRule>
  </conditionalFormatting>
  <conditionalFormatting sqref="D8">
    <cfRule type="expression" dxfId="491" priority="47">
      <formula>$D$19="FE"</formula>
    </cfRule>
  </conditionalFormatting>
  <conditionalFormatting sqref="E8">
    <cfRule type="expression" dxfId="490" priority="46">
      <formula>$E$19="FE"</formula>
    </cfRule>
  </conditionalFormatting>
  <conditionalFormatting sqref="F8">
    <cfRule type="expression" dxfId="489" priority="45">
      <formula>$F$19="FE"</formula>
    </cfRule>
  </conditionalFormatting>
  <conditionalFormatting sqref="G8">
    <cfRule type="expression" dxfId="488" priority="44">
      <formula>$G$19="FE"</formula>
    </cfRule>
  </conditionalFormatting>
  <conditionalFormatting sqref="H8">
    <cfRule type="expression" dxfId="487" priority="43">
      <formula>$H$19="FE"</formula>
    </cfRule>
  </conditionalFormatting>
  <conditionalFormatting sqref="I8">
    <cfRule type="expression" dxfId="486" priority="42">
      <formula>$I$19="FE"</formula>
    </cfRule>
  </conditionalFormatting>
  <conditionalFormatting sqref="J8">
    <cfRule type="expression" dxfId="485" priority="41">
      <formula>$J$19="FE"</formula>
    </cfRule>
  </conditionalFormatting>
  <conditionalFormatting sqref="K8">
    <cfRule type="expression" dxfId="484" priority="40">
      <formula>$K$19="FE"</formula>
    </cfRule>
  </conditionalFormatting>
  <conditionalFormatting sqref="L8">
    <cfRule type="expression" dxfId="483" priority="39">
      <formula>$L$19="FE"</formula>
    </cfRule>
  </conditionalFormatting>
  <conditionalFormatting sqref="M8">
    <cfRule type="expression" dxfId="482" priority="38">
      <formula>$M$19="FE"</formula>
    </cfRule>
  </conditionalFormatting>
  <conditionalFormatting sqref="N8">
    <cfRule type="expression" dxfId="481" priority="37">
      <formula>$N$19="FE"</formula>
    </cfRule>
  </conditionalFormatting>
  <conditionalFormatting sqref="O8">
    <cfRule type="expression" dxfId="480" priority="36">
      <formula>$O$19="FE"</formula>
    </cfRule>
  </conditionalFormatting>
  <conditionalFormatting sqref="P8">
    <cfRule type="expression" dxfId="479" priority="35">
      <formula>$P$19="FE"</formula>
    </cfRule>
  </conditionalFormatting>
  <conditionalFormatting sqref="Q8">
    <cfRule type="expression" dxfId="478" priority="34">
      <formula>$Q$19="FE"</formula>
    </cfRule>
  </conditionalFormatting>
  <conditionalFormatting sqref="R8">
    <cfRule type="expression" dxfId="477" priority="33">
      <formula>$R$19="FE"</formula>
    </cfRule>
  </conditionalFormatting>
  <conditionalFormatting sqref="S8">
    <cfRule type="expression" dxfId="476" priority="32">
      <formula>$S$19="FE"</formula>
    </cfRule>
  </conditionalFormatting>
  <conditionalFormatting sqref="T8">
    <cfRule type="expression" dxfId="475" priority="31">
      <formula>$T$19="FE"</formula>
    </cfRule>
  </conditionalFormatting>
  <conditionalFormatting sqref="U8">
    <cfRule type="expression" dxfId="474" priority="30">
      <formula>$U$19="FE"</formula>
    </cfRule>
  </conditionalFormatting>
  <conditionalFormatting sqref="V8">
    <cfRule type="expression" dxfId="473" priority="29">
      <formula>$V$19="FE"</formula>
    </cfRule>
  </conditionalFormatting>
  <conditionalFormatting sqref="W8">
    <cfRule type="expression" dxfId="472" priority="28">
      <formula>$W$19="FE"</formula>
    </cfRule>
  </conditionalFormatting>
  <conditionalFormatting sqref="X8">
    <cfRule type="expression" dxfId="471" priority="27">
      <formula>$X$19="FE"</formula>
    </cfRule>
  </conditionalFormatting>
  <conditionalFormatting sqref="Y8">
    <cfRule type="expression" dxfId="470" priority="26">
      <formula>$Y$19="FE"</formula>
    </cfRule>
  </conditionalFormatting>
  <conditionalFormatting sqref="Z8">
    <cfRule type="expression" dxfId="469" priority="25">
      <formula>$Z$19="FE"</formula>
    </cfRule>
  </conditionalFormatting>
  <conditionalFormatting sqref="AA8">
    <cfRule type="expression" dxfId="468" priority="24">
      <formula>$AA$19="FE"</formula>
    </cfRule>
  </conditionalFormatting>
  <conditionalFormatting sqref="AB8">
    <cfRule type="expression" dxfId="467" priority="23">
      <formula>$AB$19="FE"</formula>
    </cfRule>
  </conditionalFormatting>
  <conditionalFormatting sqref="AC8">
    <cfRule type="expression" dxfId="466" priority="22">
      <formula>$AC$19="FE"</formula>
    </cfRule>
  </conditionalFormatting>
  <conditionalFormatting sqref="AD8">
    <cfRule type="expression" dxfId="465" priority="21">
      <formula>$AD$19="FE"</formula>
    </cfRule>
  </conditionalFormatting>
  <conditionalFormatting sqref="AE8">
    <cfRule type="expression" dxfId="464" priority="20">
      <formula>$AE$19="FE"</formula>
    </cfRule>
  </conditionalFormatting>
  <conditionalFormatting sqref="AF8">
    <cfRule type="expression" dxfId="463" priority="19">
      <formula>$AF$19="FE"</formula>
    </cfRule>
  </conditionalFormatting>
  <conditionalFormatting sqref="B7:AF7">
    <cfRule type="containsText" dxfId="462" priority="17" operator="containsText" text="DOM">
      <formula>NOT(ISERROR(SEARCH("DOM",B7)))</formula>
    </cfRule>
    <cfRule type="containsText" dxfId="461" priority="18" operator="containsText" text="SÁB">
      <formula>NOT(ISERROR(SEARCH("SÁB",B7)))</formula>
    </cfRule>
  </conditionalFormatting>
  <conditionalFormatting sqref="J23">
    <cfRule type="containsText" dxfId="460" priority="16" operator="containsText" text="FE">
      <formula>NOT(ISERROR(SEARCH("FE",J23)))</formula>
    </cfRule>
  </conditionalFormatting>
  <conditionalFormatting sqref="N21">
    <cfRule type="containsText" dxfId="459" priority="13" operator="containsText" text="T3">
      <formula>NOT(ISERROR(SEARCH("T3",N21)))</formula>
    </cfRule>
    <cfRule type="containsText" dxfId="458" priority="14" operator="containsText" text="T2">
      <formula>NOT(ISERROR(SEARCH("T2",N21)))</formula>
    </cfRule>
    <cfRule type="containsText" dxfId="457" priority="15" operator="containsText" text="T1">
      <formula>NOT(ISERROR(SEARCH("T1",N21)))</formula>
    </cfRule>
  </conditionalFormatting>
  <conditionalFormatting sqref="N24">
    <cfRule type="containsText" dxfId="456" priority="10" operator="containsText" text="T3">
      <formula>NOT(ISERROR(SEARCH("T3",N24)))</formula>
    </cfRule>
    <cfRule type="containsText" dxfId="455" priority="11" operator="containsText" text="T2">
      <formula>NOT(ISERROR(SEARCH("T2",N24)))</formula>
    </cfRule>
    <cfRule type="containsText" dxfId="454" priority="12" operator="containsText" text="T1">
      <formula>NOT(ISERROR(SEARCH("T1",N24)))</formula>
    </cfRule>
  </conditionalFormatting>
  <conditionalFormatting sqref="N25">
    <cfRule type="containsText" dxfId="453" priority="7" operator="containsText" text="T3">
      <formula>NOT(ISERROR(SEARCH("T3",N25)))</formula>
    </cfRule>
    <cfRule type="containsText" dxfId="452" priority="8" operator="containsText" text="T2">
      <formula>NOT(ISERROR(SEARCH("T2",N25)))</formula>
    </cfRule>
    <cfRule type="containsText" dxfId="451" priority="9" operator="containsText" text="T1">
      <formula>NOT(ISERROR(SEARCH("T1",N25)))</formula>
    </cfRule>
  </conditionalFormatting>
  <conditionalFormatting sqref="AA22">
    <cfRule type="containsText" dxfId="450" priority="6" operator="containsText" text="E1">
      <formula>NOT(ISERROR(SEARCH("E1",AA22)))</formula>
    </cfRule>
  </conditionalFormatting>
  <conditionalFormatting sqref="AA23">
    <cfRule type="containsText" dxfId="449" priority="5" operator="containsText" text="E2">
      <formula>NOT(ISERROR(SEARCH("E2",AA23)))</formula>
    </cfRule>
  </conditionalFormatting>
  <conditionalFormatting sqref="AA24">
    <cfRule type="containsText" dxfId="448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6F718223-F5C9-4745-AD1C-2783E47306E8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9724490-DAB8-4503-936E-FF3E45A4F7B8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74D28419-BC9C-493D-8982-4CF5517C0EC7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CAD6C41A-2117-4213-820E-18EA3E04571F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B3547E68-DB23-45FE-93CD-3CAF07FEC7F4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90D5-1423-449B-AB3D-CD04CF288C4D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QUA</v>
      </c>
      <c r="C7" s="6" t="str">
        <f t="shared" ref="C7:AF7" si="0">UPPER(TEXT(C8,"[$]ddd"))</f>
        <v>QUI</v>
      </c>
      <c r="D7" s="6" t="str">
        <f t="shared" si="0"/>
        <v>SEX</v>
      </c>
      <c r="E7" s="6" t="str">
        <f t="shared" si="0"/>
        <v>SÁB</v>
      </c>
      <c r="F7" s="6" t="str">
        <f t="shared" si="0"/>
        <v>DOM</v>
      </c>
      <c r="G7" s="6" t="str">
        <f t="shared" si="0"/>
        <v>SEG</v>
      </c>
      <c r="H7" s="6" t="str">
        <f t="shared" si="0"/>
        <v>TER</v>
      </c>
      <c r="I7" s="6" t="str">
        <f t="shared" si="0"/>
        <v>QUA</v>
      </c>
      <c r="J7" s="6" t="str">
        <f t="shared" si="0"/>
        <v>QUI</v>
      </c>
      <c r="K7" s="6" t="str">
        <f t="shared" si="0"/>
        <v>SEX</v>
      </c>
      <c r="L7" s="6" t="str">
        <f t="shared" si="0"/>
        <v>SÁB</v>
      </c>
      <c r="M7" s="6" t="str">
        <f t="shared" si="0"/>
        <v>DOM</v>
      </c>
      <c r="N7" s="6" t="str">
        <f t="shared" si="0"/>
        <v>SEG</v>
      </c>
      <c r="O7" s="6" t="str">
        <f t="shared" si="0"/>
        <v>TER</v>
      </c>
      <c r="P7" s="6" t="str">
        <f t="shared" si="0"/>
        <v>QUA</v>
      </c>
      <c r="Q7" s="6" t="str">
        <f t="shared" si="0"/>
        <v>QUI</v>
      </c>
      <c r="R7" s="6" t="str">
        <f t="shared" si="0"/>
        <v>SEX</v>
      </c>
      <c r="S7" s="6" t="str">
        <f t="shared" si="0"/>
        <v>SÁB</v>
      </c>
      <c r="T7" s="6" t="str">
        <f t="shared" si="0"/>
        <v>DOM</v>
      </c>
      <c r="U7" s="6" t="str">
        <f t="shared" si="0"/>
        <v>SEG</v>
      </c>
      <c r="V7" s="6" t="str">
        <f t="shared" si="0"/>
        <v>TER</v>
      </c>
      <c r="W7" s="6" t="str">
        <f t="shared" si="0"/>
        <v>QUA</v>
      </c>
      <c r="X7" s="6" t="str">
        <f t="shared" si="0"/>
        <v>QUI</v>
      </c>
      <c r="Y7" s="6" t="str">
        <f t="shared" si="0"/>
        <v>SEX</v>
      </c>
      <c r="Z7" s="6" t="str">
        <f t="shared" si="0"/>
        <v>SÁB</v>
      </c>
      <c r="AA7" s="6" t="str">
        <f t="shared" si="0"/>
        <v>DOM</v>
      </c>
      <c r="AB7" s="6" t="str">
        <f t="shared" si="0"/>
        <v>SEG</v>
      </c>
      <c r="AC7" s="6" t="str">
        <f t="shared" si="0"/>
        <v>TER</v>
      </c>
      <c r="AD7" s="6" t="str">
        <f t="shared" si="0"/>
        <v>QUA</v>
      </c>
      <c r="AE7" s="6" t="str">
        <f t="shared" si="0"/>
        <v>QUI</v>
      </c>
      <c r="AF7" s="6" t="str">
        <f t="shared" si="0"/>
        <v>SEX</v>
      </c>
    </row>
    <row r="8" spans="1:32" ht="15.75" thickBot="1" x14ac:dyDescent="0.3">
      <c r="A8" s="99"/>
      <c r="B8" s="56">
        <f>D21</f>
        <v>45413</v>
      </c>
      <c r="C8" s="57">
        <f>B8+1</f>
        <v>45414</v>
      </c>
      <c r="D8" s="57">
        <f t="shared" ref="D8:AF8" si="1">C8+1</f>
        <v>45415</v>
      </c>
      <c r="E8" s="57">
        <f t="shared" si="1"/>
        <v>45416</v>
      </c>
      <c r="F8" s="57">
        <f t="shared" si="1"/>
        <v>45417</v>
      </c>
      <c r="G8" s="57">
        <f t="shared" si="1"/>
        <v>45418</v>
      </c>
      <c r="H8" s="57">
        <f t="shared" si="1"/>
        <v>45419</v>
      </c>
      <c r="I8" s="57">
        <f t="shared" si="1"/>
        <v>45420</v>
      </c>
      <c r="J8" s="57">
        <f t="shared" si="1"/>
        <v>45421</v>
      </c>
      <c r="K8" s="57">
        <f t="shared" si="1"/>
        <v>45422</v>
      </c>
      <c r="L8" s="57">
        <f t="shared" si="1"/>
        <v>45423</v>
      </c>
      <c r="M8" s="57">
        <f t="shared" si="1"/>
        <v>45424</v>
      </c>
      <c r="N8" s="57">
        <f t="shared" si="1"/>
        <v>45425</v>
      </c>
      <c r="O8" s="57">
        <f t="shared" si="1"/>
        <v>45426</v>
      </c>
      <c r="P8" s="57">
        <f t="shared" si="1"/>
        <v>45427</v>
      </c>
      <c r="Q8" s="57">
        <f t="shared" si="1"/>
        <v>45428</v>
      </c>
      <c r="R8" s="57">
        <f t="shared" si="1"/>
        <v>45429</v>
      </c>
      <c r="S8" s="57">
        <f t="shared" si="1"/>
        <v>45430</v>
      </c>
      <c r="T8" s="57">
        <f t="shared" si="1"/>
        <v>45431</v>
      </c>
      <c r="U8" s="57">
        <f t="shared" si="1"/>
        <v>45432</v>
      </c>
      <c r="V8" s="57">
        <f t="shared" si="1"/>
        <v>45433</v>
      </c>
      <c r="W8" s="57">
        <f t="shared" si="1"/>
        <v>45434</v>
      </c>
      <c r="X8" s="57">
        <f t="shared" si="1"/>
        <v>45435</v>
      </c>
      <c r="Y8" s="57">
        <f t="shared" si="1"/>
        <v>45436</v>
      </c>
      <c r="Z8" s="57">
        <f t="shared" si="1"/>
        <v>45437</v>
      </c>
      <c r="AA8" s="57">
        <f t="shared" si="1"/>
        <v>45438</v>
      </c>
      <c r="AB8" s="57">
        <f t="shared" si="1"/>
        <v>45439</v>
      </c>
      <c r="AC8" s="57">
        <f t="shared" si="1"/>
        <v>45440</v>
      </c>
      <c r="AD8" s="57">
        <f t="shared" si="1"/>
        <v>45441</v>
      </c>
      <c r="AE8" s="57">
        <f t="shared" si="1"/>
        <v>45442</v>
      </c>
      <c r="AF8" s="58">
        <f t="shared" si="1"/>
        <v>45443</v>
      </c>
    </row>
    <row r="9" spans="1:32" x14ac:dyDescent="0.25">
      <c r="A9" s="19" t="s">
        <v>2</v>
      </c>
      <c r="B9" s="44" t="s">
        <v>3</v>
      </c>
      <c r="C9" s="45" t="s">
        <v>3</v>
      </c>
      <c r="D9" s="45" t="s">
        <v>3</v>
      </c>
      <c r="E9" s="45"/>
      <c r="F9" s="45"/>
      <c r="G9" s="45" t="s">
        <v>3</v>
      </c>
      <c r="H9" s="45" t="s">
        <v>3</v>
      </c>
      <c r="I9" s="45" t="s">
        <v>3</v>
      </c>
      <c r="J9" s="45" t="s">
        <v>3</v>
      </c>
      <c r="K9" s="45" t="s">
        <v>3</v>
      </c>
      <c r="L9" s="45"/>
      <c r="M9" s="45"/>
      <c r="N9" s="45" t="s">
        <v>3</v>
      </c>
      <c r="O9" s="45" t="s">
        <v>3</v>
      </c>
      <c r="P9" s="45" t="s">
        <v>3</v>
      </c>
      <c r="Q9" s="45" t="s">
        <v>3</v>
      </c>
      <c r="R9" s="45" t="s">
        <v>3</v>
      </c>
      <c r="S9" s="45"/>
      <c r="T9" s="45"/>
      <c r="U9" s="45" t="s">
        <v>3</v>
      </c>
      <c r="V9" s="45" t="s">
        <v>3</v>
      </c>
      <c r="W9" s="45" t="s">
        <v>3</v>
      </c>
      <c r="X9" s="45" t="s">
        <v>3</v>
      </c>
      <c r="Y9" s="45" t="s">
        <v>3</v>
      </c>
      <c r="Z9" s="45"/>
      <c r="AA9" s="45"/>
      <c r="AB9" s="45" t="s">
        <v>3</v>
      </c>
      <c r="AC9" s="45" t="s">
        <v>3</v>
      </c>
      <c r="AD9" s="45" t="s">
        <v>3</v>
      </c>
      <c r="AE9" s="45" t="s">
        <v>3</v>
      </c>
      <c r="AF9" s="55" t="s">
        <v>3</v>
      </c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>FE</v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45413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45443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31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447" priority="56">
      <formula>INDIRECT(_xludf.CELL("address"))="$AL$10:$AL$19"</formula>
    </cfRule>
  </conditionalFormatting>
  <conditionalFormatting sqref="B19:AF19">
    <cfRule type="containsText" dxfId="446" priority="55" operator="containsText" text="FE">
      <formula>NOT(ISERROR(SEARCH("FE",B19)))</formula>
    </cfRule>
  </conditionalFormatting>
  <conditionalFormatting sqref="B9:AF18">
    <cfRule type="containsText" dxfId="445" priority="1" operator="containsText" text="E3">
      <formula>NOT(ISERROR(SEARCH("E3",B9)))</formula>
    </cfRule>
    <cfRule type="containsText" dxfId="444" priority="2" operator="containsText" text="E2">
      <formula>NOT(ISERROR(SEARCH("E2",B9)))</formula>
    </cfRule>
    <cfRule type="containsText" dxfId="443" priority="3" operator="containsText" text="E1">
      <formula>NOT(ISERROR(SEARCH("E1",B9)))</formula>
    </cfRule>
    <cfRule type="containsText" dxfId="442" priority="50" operator="containsText" text="DO">
      <formula>NOT(ISERROR(SEARCH("DO",B9)))</formula>
    </cfRule>
    <cfRule type="containsText" dxfId="441" priority="51" operator="containsText" text="VA">
      <formula>NOT(ISERROR(SEARCH("VA",B9)))</formula>
    </cfRule>
    <cfRule type="containsText" dxfId="440" priority="52" operator="containsText" text="T1">
      <formula>NOT(ISERROR(SEARCH("T1",B9)))</formula>
    </cfRule>
    <cfRule type="containsText" dxfId="439" priority="53" operator="containsText" text="T2">
      <formula>NOT(ISERROR(SEARCH("T2",B9)))</formula>
    </cfRule>
    <cfRule type="containsText" dxfId="438" priority="54" operator="containsText" text="T3">
      <formula>NOT(ISERROR(SEARCH("T3",B9)))</formula>
    </cfRule>
  </conditionalFormatting>
  <conditionalFormatting sqref="B8">
    <cfRule type="expression" dxfId="437" priority="49">
      <formula>$B$19="FE"</formula>
    </cfRule>
  </conditionalFormatting>
  <conditionalFormatting sqref="C8">
    <cfRule type="expression" dxfId="436" priority="48">
      <formula>$C$19="FE"</formula>
    </cfRule>
  </conditionalFormatting>
  <conditionalFormatting sqref="D8">
    <cfRule type="expression" dxfId="435" priority="47">
      <formula>$D$19="FE"</formula>
    </cfRule>
  </conditionalFormatting>
  <conditionalFormatting sqref="E8">
    <cfRule type="expression" dxfId="434" priority="46">
      <formula>$E$19="FE"</formula>
    </cfRule>
  </conditionalFormatting>
  <conditionalFormatting sqref="F8">
    <cfRule type="expression" dxfId="433" priority="45">
      <formula>$F$19="FE"</formula>
    </cfRule>
  </conditionalFormatting>
  <conditionalFormatting sqref="G8">
    <cfRule type="expression" dxfId="432" priority="44">
      <formula>$G$19="FE"</formula>
    </cfRule>
  </conditionalFormatting>
  <conditionalFormatting sqref="H8">
    <cfRule type="expression" dxfId="431" priority="43">
      <formula>$H$19="FE"</formula>
    </cfRule>
  </conditionalFormatting>
  <conditionalFormatting sqref="I8">
    <cfRule type="expression" dxfId="430" priority="42">
      <formula>$I$19="FE"</formula>
    </cfRule>
  </conditionalFormatting>
  <conditionalFormatting sqref="J8">
    <cfRule type="expression" dxfId="429" priority="41">
      <formula>$J$19="FE"</formula>
    </cfRule>
  </conditionalFormatting>
  <conditionalFormatting sqref="K8">
    <cfRule type="expression" dxfId="428" priority="40">
      <formula>$K$19="FE"</formula>
    </cfRule>
  </conditionalFormatting>
  <conditionalFormatting sqref="L8">
    <cfRule type="expression" dxfId="427" priority="39">
      <formula>$L$19="FE"</formula>
    </cfRule>
  </conditionalFormatting>
  <conditionalFormatting sqref="M8">
    <cfRule type="expression" dxfId="426" priority="38">
      <formula>$M$19="FE"</formula>
    </cfRule>
  </conditionalFormatting>
  <conditionalFormatting sqref="N8">
    <cfRule type="expression" dxfId="425" priority="37">
      <formula>$N$19="FE"</formula>
    </cfRule>
  </conditionalFormatting>
  <conditionalFormatting sqref="O8">
    <cfRule type="expression" dxfId="424" priority="36">
      <formula>$O$19="FE"</formula>
    </cfRule>
  </conditionalFormatting>
  <conditionalFormatting sqref="P8">
    <cfRule type="expression" dxfId="423" priority="35">
      <formula>$P$19="FE"</formula>
    </cfRule>
  </conditionalFormatting>
  <conditionalFormatting sqref="Q8">
    <cfRule type="expression" dxfId="422" priority="34">
      <formula>$Q$19="FE"</formula>
    </cfRule>
  </conditionalFormatting>
  <conditionalFormatting sqref="R8">
    <cfRule type="expression" dxfId="421" priority="33">
      <formula>$R$19="FE"</formula>
    </cfRule>
  </conditionalFormatting>
  <conditionalFormatting sqref="S8">
    <cfRule type="expression" dxfId="420" priority="32">
      <formula>$S$19="FE"</formula>
    </cfRule>
  </conditionalFormatting>
  <conditionalFormatting sqref="T8">
    <cfRule type="expression" dxfId="419" priority="31">
      <formula>$T$19="FE"</formula>
    </cfRule>
  </conditionalFormatting>
  <conditionalFormatting sqref="U8">
    <cfRule type="expression" dxfId="418" priority="30">
      <formula>$U$19="FE"</formula>
    </cfRule>
  </conditionalFormatting>
  <conditionalFormatting sqref="V8">
    <cfRule type="expression" dxfId="417" priority="29">
      <formula>$V$19="FE"</formula>
    </cfRule>
  </conditionalFormatting>
  <conditionalFormatting sqref="W8">
    <cfRule type="expression" dxfId="416" priority="28">
      <formula>$W$19="FE"</formula>
    </cfRule>
  </conditionalFormatting>
  <conditionalFormatting sqref="X8">
    <cfRule type="expression" dxfId="415" priority="27">
      <formula>$X$19="FE"</formula>
    </cfRule>
  </conditionalFormatting>
  <conditionalFormatting sqref="Y8">
    <cfRule type="expression" dxfId="414" priority="26">
      <formula>$Y$19="FE"</formula>
    </cfRule>
  </conditionalFormatting>
  <conditionalFormatting sqref="Z8">
    <cfRule type="expression" dxfId="413" priority="25">
      <formula>$Z$19="FE"</formula>
    </cfRule>
  </conditionalFormatting>
  <conditionalFormatting sqref="AA8">
    <cfRule type="expression" dxfId="412" priority="24">
      <formula>$AA$19="FE"</formula>
    </cfRule>
  </conditionalFormatting>
  <conditionalFormatting sqref="AB8">
    <cfRule type="expression" dxfId="411" priority="23">
      <formula>$AB$19="FE"</formula>
    </cfRule>
  </conditionalFormatting>
  <conditionalFormatting sqref="AC8">
    <cfRule type="expression" dxfId="410" priority="22">
      <formula>$AC$19="FE"</formula>
    </cfRule>
  </conditionalFormatting>
  <conditionalFormatting sqref="AD8">
    <cfRule type="expression" dxfId="409" priority="21">
      <formula>$AD$19="FE"</formula>
    </cfRule>
  </conditionalFormatting>
  <conditionalFormatting sqref="AE8">
    <cfRule type="expression" dxfId="408" priority="20">
      <formula>$AE$19="FE"</formula>
    </cfRule>
  </conditionalFormatting>
  <conditionalFormatting sqref="AF8">
    <cfRule type="expression" dxfId="407" priority="19">
      <formula>$AF$19="FE"</formula>
    </cfRule>
  </conditionalFormatting>
  <conditionalFormatting sqref="B7:AF7">
    <cfRule type="containsText" dxfId="406" priority="17" operator="containsText" text="DOM">
      <formula>NOT(ISERROR(SEARCH("DOM",B7)))</formula>
    </cfRule>
    <cfRule type="containsText" dxfId="405" priority="18" operator="containsText" text="SÁB">
      <formula>NOT(ISERROR(SEARCH("SÁB",B7)))</formula>
    </cfRule>
  </conditionalFormatting>
  <conditionalFormatting sqref="J23">
    <cfRule type="containsText" dxfId="404" priority="16" operator="containsText" text="FE">
      <formula>NOT(ISERROR(SEARCH("FE",J23)))</formula>
    </cfRule>
  </conditionalFormatting>
  <conditionalFormatting sqref="N21">
    <cfRule type="containsText" dxfId="403" priority="13" operator="containsText" text="T3">
      <formula>NOT(ISERROR(SEARCH("T3",N21)))</formula>
    </cfRule>
    <cfRule type="containsText" dxfId="402" priority="14" operator="containsText" text="T2">
      <formula>NOT(ISERROR(SEARCH("T2",N21)))</formula>
    </cfRule>
    <cfRule type="containsText" dxfId="401" priority="15" operator="containsText" text="T1">
      <formula>NOT(ISERROR(SEARCH("T1",N21)))</formula>
    </cfRule>
  </conditionalFormatting>
  <conditionalFormatting sqref="N24">
    <cfRule type="containsText" dxfId="400" priority="10" operator="containsText" text="T3">
      <formula>NOT(ISERROR(SEARCH("T3",N24)))</formula>
    </cfRule>
    <cfRule type="containsText" dxfId="399" priority="11" operator="containsText" text="T2">
      <formula>NOT(ISERROR(SEARCH("T2",N24)))</formula>
    </cfRule>
    <cfRule type="containsText" dxfId="398" priority="12" operator="containsText" text="T1">
      <formula>NOT(ISERROR(SEARCH("T1",N24)))</formula>
    </cfRule>
  </conditionalFormatting>
  <conditionalFormatting sqref="N25">
    <cfRule type="containsText" dxfId="397" priority="7" operator="containsText" text="T3">
      <formula>NOT(ISERROR(SEARCH("T3",N25)))</formula>
    </cfRule>
    <cfRule type="containsText" dxfId="396" priority="8" operator="containsText" text="T2">
      <formula>NOT(ISERROR(SEARCH("T2",N25)))</formula>
    </cfRule>
    <cfRule type="containsText" dxfId="395" priority="9" operator="containsText" text="T1">
      <formula>NOT(ISERROR(SEARCH("T1",N25)))</formula>
    </cfRule>
  </conditionalFormatting>
  <conditionalFormatting sqref="AA22">
    <cfRule type="containsText" dxfId="394" priority="6" operator="containsText" text="E1">
      <formula>NOT(ISERROR(SEARCH("E1",AA22)))</formula>
    </cfRule>
  </conditionalFormatting>
  <conditionalFormatting sqref="AA23">
    <cfRule type="containsText" dxfId="393" priority="5" operator="containsText" text="E2">
      <formula>NOT(ISERROR(SEARCH("E2",AA23)))</formula>
    </cfRule>
  </conditionalFormatting>
  <conditionalFormatting sqref="AA24">
    <cfRule type="containsText" dxfId="392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19CB8C08-BB69-403E-BF88-828C207F0B6A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4F77B84-BDC4-4E72-A05D-78FF069EDF67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E118020D-7009-4C66-B6DF-1F5667547C99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4C7BBD58-9CC0-4FF3-B01B-D3D6A20D9A66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35A21683-8E05-4EBD-949C-0460846DB900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941DB-3E82-452F-8AA8-B47BA4FD36EE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SÁB</v>
      </c>
      <c r="C7" s="6" t="str">
        <f t="shared" ref="C7:AF7" si="0">UPPER(TEXT(C8,"[$]ddd"))</f>
        <v>DOM</v>
      </c>
      <c r="D7" s="6" t="str">
        <f t="shared" si="0"/>
        <v>SEG</v>
      </c>
      <c r="E7" s="6" t="str">
        <f t="shared" si="0"/>
        <v>TER</v>
      </c>
      <c r="F7" s="6" t="str">
        <f t="shared" si="0"/>
        <v>QUA</v>
      </c>
      <c r="G7" s="6" t="str">
        <f t="shared" si="0"/>
        <v>QUI</v>
      </c>
      <c r="H7" s="6" t="str">
        <f t="shared" si="0"/>
        <v>SEX</v>
      </c>
      <c r="I7" s="6" t="str">
        <f t="shared" si="0"/>
        <v>SÁB</v>
      </c>
      <c r="J7" s="6" t="str">
        <f t="shared" si="0"/>
        <v>DOM</v>
      </c>
      <c r="K7" s="6" t="str">
        <f t="shared" si="0"/>
        <v>SEG</v>
      </c>
      <c r="L7" s="6" t="str">
        <f t="shared" si="0"/>
        <v>TER</v>
      </c>
      <c r="M7" s="6" t="str">
        <f t="shared" si="0"/>
        <v>QUA</v>
      </c>
      <c r="N7" s="6" t="str">
        <f t="shared" si="0"/>
        <v>QUI</v>
      </c>
      <c r="O7" s="6" t="str">
        <f t="shared" si="0"/>
        <v>SEX</v>
      </c>
      <c r="P7" s="6" t="str">
        <f t="shared" si="0"/>
        <v>SÁB</v>
      </c>
      <c r="Q7" s="6" t="str">
        <f t="shared" si="0"/>
        <v>DOM</v>
      </c>
      <c r="R7" s="6" t="str">
        <f t="shared" si="0"/>
        <v>SEG</v>
      </c>
      <c r="S7" s="6" t="str">
        <f t="shared" si="0"/>
        <v>TER</v>
      </c>
      <c r="T7" s="6" t="str">
        <f t="shared" si="0"/>
        <v>QUA</v>
      </c>
      <c r="U7" s="6" t="str">
        <f t="shared" si="0"/>
        <v>QUI</v>
      </c>
      <c r="V7" s="6" t="str">
        <f t="shared" si="0"/>
        <v>SEX</v>
      </c>
      <c r="W7" s="6" t="str">
        <f t="shared" si="0"/>
        <v>SÁB</v>
      </c>
      <c r="X7" s="6" t="str">
        <f t="shared" si="0"/>
        <v>DOM</v>
      </c>
      <c r="Y7" s="6" t="str">
        <f t="shared" si="0"/>
        <v>SEG</v>
      </c>
      <c r="Z7" s="6" t="str">
        <f t="shared" si="0"/>
        <v>TER</v>
      </c>
      <c r="AA7" s="6" t="str">
        <f t="shared" si="0"/>
        <v>QUA</v>
      </c>
      <c r="AB7" s="6" t="str">
        <f t="shared" si="0"/>
        <v>QUI</v>
      </c>
      <c r="AC7" s="6" t="str">
        <f t="shared" si="0"/>
        <v>SEX</v>
      </c>
      <c r="AD7" s="6" t="str">
        <f t="shared" si="0"/>
        <v>SÁB</v>
      </c>
      <c r="AE7" s="6" t="str">
        <f t="shared" si="0"/>
        <v>DOM</v>
      </c>
      <c r="AF7" s="6" t="str">
        <f t="shared" si="0"/>
        <v>SEG</v>
      </c>
    </row>
    <row r="8" spans="1:32" ht="15.75" thickBot="1" x14ac:dyDescent="0.3">
      <c r="A8" s="99"/>
      <c r="B8" s="56">
        <f>D21</f>
        <v>45444</v>
      </c>
      <c r="C8" s="57">
        <f>B8+1</f>
        <v>45445</v>
      </c>
      <c r="D8" s="57">
        <f t="shared" ref="D8:AF8" si="1">C8+1</f>
        <v>45446</v>
      </c>
      <c r="E8" s="57">
        <f t="shared" si="1"/>
        <v>45447</v>
      </c>
      <c r="F8" s="57">
        <f t="shared" si="1"/>
        <v>45448</v>
      </c>
      <c r="G8" s="57">
        <f t="shared" si="1"/>
        <v>45449</v>
      </c>
      <c r="H8" s="57">
        <f t="shared" si="1"/>
        <v>45450</v>
      </c>
      <c r="I8" s="57">
        <f t="shared" si="1"/>
        <v>45451</v>
      </c>
      <c r="J8" s="57">
        <f t="shared" si="1"/>
        <v>45452</v>
      </c>
      <c r="K8" s="57">
        <f t="shared" si="1"/>
        <v>45453</v>
      </c>
      <c r="L8" s="57">
        <f t="shared" si="1"/>
        <v>45454</v>
      </c>
      <c r="M8" s="57">
        <f t="shared" si="1"/>
        <v>45455</v>
      </c>
      <c r="N8" s="57">
        <f t="shared" si="1"/>
        <v>45456</v>
      </c>
      <c r="O8" s="57">
        <f t="shared" si="1"/>
        <v>45457</v>
      </c>
      <c r="P8" s="57">
        <f t="shared" si="1"/>
        <v>45458</v>
      </c>
      <c r="Q8" s="57">
        <f t="shared" si="1"/>
        <v>45459</v>
      </c>
      <c r="R8" s="57">
        <f t="shared" si="1"/>
        <v>45460</v>
      </c>
      <c r="S8" s="57">
        <f t="shared" si="1"/>
        <v>45461</v>
      </c>
      <c r="T8" s="57">
        <f t="shared" si="1"/>
        <v>45462</v>
      </c>
      <c r="U8" s="57">
        <f t="shared" si="1"/>
        <v>45463</v>
      </c>
      <c r="V8" s="57">
        <f t="shared" si="1"/>
        <v>45464</v>
      </c>
      <c r="W8" s="57">
        <f t="shared" si="1"/>
        <v>45465</v>
      </c>
      <c r="X8" s="57">
        <f t="shared" si="1"/>
        <v>45466</v>
      </c>
      <c r="Y8" s="57">
        <f t="shared" si="1"/>
        <v>45467</v>
      </c>
      <c r="Z8" s="57">
        <f t="shared" si="1"/>
        <v>45468</v>
      </c>
      <c r="AA8" s="57">
        <f t="shared" si="1"/>
        <v>45469</v>
      </c>
      <c r="AB8" s="57">
        <f t="shared" si="1"/>
        <v>45470</v>
      </c>
      <c r="AC8" s="57">
        <f t="shared" si="1"/>
        <v>45471</v>
      </c>
      <c r="AD8" s="57">
        <f t="shared" si="1"/>
        <v>45472</v>
      </c>
      <c r="AE8" s="57">
        <f t="shared" si="1"/>
        <v>45473</v>
      </c>
      <c r="AF8" s="58">
        <f t="shared" si="1"/>
        <v>45474</v>
      </c>
    </row>
    <row r="9" spans="1:32" x14ac:dyDescent="0.25">
      <c r="A9" s="19" t="s">
        <v>2</v>
      </c>
      <c r="B9" s="44"/>
      <c r="C9" s="45"/>
      <c r="D9" s="45" t="s">
        <v>3</v>
      </c>
      <c r="E9" s="45" t="s">
        <v>3</v>
      </c>
      <c r="F9" s="45" t="s">
        <v>3</v>
      </c>
      <c r="G9" s="45" t="s">
        <v>3</v>
      </c>
      <c r="H9" s="45" t="s">
        <v>3</v>
      </c>
      <c r="I9" s="45"/>
      <c r="J9" s="45"/>
      <c r="K9" s="45" t="s">
        <v>3</v>
      </c>
      <c r="L9" s="45" t="s">
        <v>3</v>
      </c>
      <c r="M9" s="45" t="s">
        <v>3</v>
      </c>
      <c r="N9" s="45" t="s">
        <v>3</v>
      </c>
      <c r="O9" s="45" t="s">
        <v>3</v>
      </c>
      <c r="P9" s="45"/>
      <c r="Q9" s="45"/>
      <c r="R9" s="45" t="s">
        <v>3</v>
      </c>
      <c r="S9" s="45" t="s">
        <v>3</v>
      </c>
      <c r="T9" s="45" t="s">
        <v>3</v>
      </c>
      <c r="U9" s="45" t="s">
        <v>3</v>
      </c>
      <c r="V9" s="45" t="s">
        <v>3</v>
      </c>
      <c r="W9" s="45"/>
      <c r="X9" s="45"/>
      <c r="Y9" s="45" t="s">
        <v>3</v>
      </c>
      <c r="Z9" s="45" t="s">
        <v>3</v>
      </c>
      <c r="AA9" s="45" t="s">
        <v>3</v>
      </c>
      <c r="AB9" s="45" t="s">
        <v>3</v>
      </c>
      <c r="AC9" s="45" t="s">
        <v>3</v>
      </c>
      <c r="AD9" s="45"/>
      <c r="AE9" s="45"/>
      <c r="AF9" s="55" t="s">
        <v>3</v>
      </c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45444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45473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30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391" priority="56">
      <formula>INDIRECT(_xludf.CELL("address"))="$AL$10:$AL$19"</formula>
    </cfRule>
  </conditionalFormatting>
  <conditionalFormatting sqref="B19:AF19">
    <cfRule type="containsText" dxfId="390" priority="55" operator="containsText" text="FE">
      <formula>NOT(ISERROR(SEARCH("FE",B19)))</formula>
    </cfRule>
  </conditionalFormatting>
  <conditionalFormatting sqref="B9:AF18">
    <cfRule type="containsText" dxfId="389" priority="1" operator="containsText" text="E3">
      <formula>NOT(ISERROR(SEARCH("E3",B9)))</formula>
    </cfRule>
    <cfRule type="containsText" dxfId="388" priority="2" operator="containsText" text="E2">
      <formula>NOT(ISERROR(SEARCH("E2",B9)))</formula>
    </cfRule>
    <cfRule type="containsText" dxfId="387" priority="3" operator="containsText" text="E1">
      <formula>NOT(ISERROR(SEARCH("E1",B9)))</formula>
    </cfRule>
    <cfRule type="containsText" dxfId="386" priority="50" operator="containsText" text="DO">
      <formula>NOT(ISERROR(SEARCH("DO",B9)))</formula>
    </cfRule>
    <cfRule type="containsText" dxfId="385" priority="51" operator="containsText" text="VA">
      <formula>NOT(ISERROR(SEARCH("VA",B9)))</formula>
    </cfRule>
    <cfRule type="containsText" dxfId="384" priority="52" operator="containsText" text="T1">
      <formula>NOT(ISERROR(SEARCH("T1",B9)))</formula>
    </cfRule>
    <cfRule type="containsText" dxfId="383" priority="53" operator="containsText" text="T2">
      <formula>NOT(ISERROR(SEARCH("T2",B9)))</formula>
    </cfRule>
    <cfRule type="containsText" dxfId="382" priority="54" operator="containsText" text="T3">
      <formula>NOT(ISERROR(SEARCH("T3",B9)))</formula>
    </cfRule>
  </conditionalFormatting>
  <conditionalFormatting sqref="B8">
    <cfRule type="expression" dxfId="381" priority="49">
      <formula>$B$19="FE"</formula>
    </cfRule>
  </conditionalFormatting>
  <conditionalFormatting sqref="C8">
    <cfRule type="expression" dxfId="380" priority="48">
      <formula>$C$19="FE"</formula>
    </cfRule>
  </conditionalFormatting>
  <conditionalFormatting sqref="D8">
    <cfRule type="expression" dxfId="379" priority="47">
      <formula>$D$19="FE"</formula>
    </cfRule>
  </conditionalFormatting>
  <conditionalFormatting sqref="E8">
    <cfRule type="expression" dxfId="378" priority="46">
      <formula>$E$19="FE"</formula>
    </cfRule>
  </conditionalFormatting>
  <conditionalFormatting sqref="F8">
    <cfRule type="expression" dxfId="377" priority="45">
      <formula>$F$19="FE"</formula>
    </cfRule>
  </conditionalFormatting>
  <conditionalFormatting sqref="G8">
    <cfRule type="expression" dxfId="376" priority="44">
      <formula>$G$19="FE"</formula>
    </cfRule>
  </conditionalFormatting>
  <conditionalFormatting sqref="H8">
    <cfRule type="expression" dxfId="375" priority="43">
      <formula>$H$19="FE"</formula>
    </cfRule>
  </conditionalFormatting>
  <conditionalFormatting sqref="I8">
    <cfRule type="expression" dxfId="374" priority="42">
      <formula>$I$19="FE"</formula>
    </cfRule>
  </conditionalFormatting>
  <conditionalFormatting sqref="J8">
    <cfRule type="expression" dxfId="373" priority="41">
      <formula>$J$19="FE"</formula>
    </cfRule>
  </conditionalFormatting>
  <conditionalFormatting sqref="K8">
    <cfRule type="expression" dxfId="372" priority="40">
      <formula>$K$19="FE"</formula>
    </cfRule>
  </conditionalFormatting>
  <conditionalFormatting sqref="L8">
    <cfRule type="expression" dxfId="371" priority="39">
      <formula>$L$19="FE"</formula>
    </cfRule>
  </conditionalFormatting>
  <conditionalFormatting sqref="M8">
    <cfRule type="expression" dxfId="370" priority="38">
      <formula>$M$19="FE"</formula>
    </cfRule>
  </conditionalFormatting>
  <conditionalFormatting sqref="N8">
    <cfRule type="expression" dxfId="369" priority="37">
      <formula>$N$19="FE"</formula>
    </cfRule>
  </conditionalFormatting>
  <conditionalFormatting sqref="O8">
    <cfRule type="expression" dxfId="368" priority="36">
      <formula>$O$19="FE"</formula>
    </cfRule>
  </conditionalFormatting>
  <conditionalFormatting sqref="P8">
    <cfRule type="expression" dxfId="367" priority="35">
      <formula>$P$19="FE"</formula>
    </cfRule>
  </conditionalFormatting>
  <conditionalFormatting sqref="Q8">
    <cfRule type="expression" dxfId="366" priority="34">
      <formula>$Q$19="FE"</formula>
    </cfRule>
  </conditionalFormatting>
  <conditionalFormatting sqref="R8">
    <cfRule type="expression" dxfId="365" priority="33">
      <formula>$R$19="FE"</formula>
    </cfRule>
  </conditionalFormatting>
  <conditionalFormatting sqref="S8">
    <cfRule type="expression" dxfId="364" priority="32">
      <formula>$S$19="FE"</formula>
    </cfRule>
  </conditionalFormatting>
  <conditionalFormatting sqref="T8">
    <cfRule type="expression" dxfId="363" priority="31">
      <formula>$T$19="FE"</formula>
    </cfRule>
  </conditionalFormatting>
  <conditionalFormatting sqref="U8">
    <cfRule type="expression" dxfId="362" priority="30">
      <formula>$U$19="FE"</formula>
    </cfRule>
  </conditionalFormatting>
  <conditionalFormatting sqref="V8">
    <cfRule type="expression" dxfId="361" priority="29">
      <formula>$V$19="FE"</formula>
    </cfRule>
  </conditionalFormatting>
  <conditionalFormatting sqref="W8">
    <cfRule type="expression" dxfId="360" priority="28">
      <formula>$W$19="FE"</formula>
    </cfRule>
  </conditionalFormatting>
  <conditionalFormatting sqref="X8">
    <cfRule type="expression" dxfId="359" priority="27">
      <formula>$X$19="FE"</formula>
    </cfRule>
  </conditionalFormatting>
  <conditionalFormatting sqref="Y8">
    <cfRule type="expression" dxfId="358" priority="26">
      <formula>$Y$19="FE"</formula>
    </cfRule>
  </conditionalFormatting>
  <conditionalFormatting sqref="Z8">
    <cfRule type="expression" dxfId="357" priority="25">
      <formula>$Z$19="FE"</formula>
    </cfRule>
  </conditionalFormatting>
  <conditionalFormatting sqref="AA8">
    <cfRule type="expression" dxfId="356" priority="24">
      <formula>$AA$19="FE"</formula>
    </cfRule>
  </conditionalFormatting>
  <conditionalFormatting sqref="AB8">
    <cfRule type="expression" dxfId="355" priority="23">
      <formula>$AB$19="FE"</formula>
    </cfRule>
  </conditionalFormatting>
  <conditionalFormatting sqref="AC8">
    <cfRule type="expression" dxfId="354" priority="22">
      <formula>$AC$19="FE"</formula>
    </cfRule>
  </conditionalFormatting>
  <conditionalFormatting sqref="AD8">
    <cfRule type="expression" dxfId="353" priority="21">
      <formula>$AD$19="FE"</formula>
    </cfRule>
  </conditionalFormatting>
  <conditionalFormatting sqref="AE8">
    <cfRule type="expression" dxfId="352" priority="20">
      <formula>$AE$19="FE"</formula>
    </cfRule>
  </conditionalFormatting>
  <conditionalFormatting sqref="AF8">
    <cfRule type="expression" dxfId="351" priority="19">
      <formula>$AF$19="FE"</formula>
    </cfRule>
  </conditionalFormatting>
  <conditionalFormatting sqref="B7:AF7">
    <cfRule type="containsText" dxfId="350" priority="17" operator="containsText" text="DOM">
      <formula>NOT(ISERROR(SEARCH("DOM",B7)))</formula>
    </cfRule>
    <cfRule type="containsText" dxfId="349" priority="18" operator="containsText" text="SÁB">
      <formula>NOT(ISERROR(SEARCH("SÁB",B7)))</formula>
    </cfRule>
  </conditionalFormatting>
  <conditionalFormatting sqref="J23">
    <cfRule type="containsText" dxfId="348" priority="16" operator="containsText" text="FE">
      <formula>NOT(ISERROR(SEARCH("FE",J23)))</formula>
    </cfRule>
  </conditionalFormatting>
  <conditionalFormatting sqref="N21">
    <cfRule type="containsText" dxfId="347" priority="13" operator="containsText" text="T3">
      <formula>NOT(ISERROR(SEARCH("T3",N21)))</formula>
    </cfRule>
    <cfRule type="containsText" dxfId="346" priority="14" operator="containsText" text="T2">
      <formula>NOT(ISERROR(SEARCH("T2",N21)))</formula>
    </cfRule>
    <cfRule type="containsText" dxfId="345" priority="15" operator="containsText" text="T1">
      <formula>NOT(ISERROR(SEARCH("T1",N21)))</formula>
    </cfRule>
  </conditionalFormatting>
  <conditionalFormatting sqref="N24">
    <cfRule type="containsText" dxfId="344" priority="10" operator="containsText" text="T3">
      <formula>NOT(ISERROR(SEARCH("T3",N24)))</formula>
    </cfRule>
    <cfRule type="containsText" dxfId="343" priority="11" operator="containsText" text="T2">
      <formula>NOT(ISERROR(SEARCH("T2",N24)))</formula>
    </cfRule>
    <cfRule type="containsText" dxfId="342" priority="12" operator="containsText" text="T1">
      <formula>NOT(ISERROR(SEARCH("T1",N24)))</formula>
    </cfRule>
  </conditionalFormatting>
  <conditionalFormatting sqref="N25">
    <cfRule type="containsText" dxfId="341" priority="7" operator="containsText" text="T3">
      <formula>NOT(ISERROR(SEARCH("T3",N25)))</formula>
    </cfRule>
    <cfRule type="containsText" dxfId="340" priority="8" operator="containsText" text="T2">
      <formula>NOT(ISERROR(SEARCH("T2",N25)))</formula>
    </cfRule>
    <cfRule type="containsText" dxfId="339" priority="9" operator="containsText" text="T1">
      <formula>NOT(ISERROR(SEARCH("T1",N25)))</formula>
    </cfRule>
  </conditionalFormatting>
  <conditionalFormatting sqref="AA22">
    <cfRule type="containsText" dxfId="338" priority="6" operator="containsText" text="E1">
      <formula>NOT(ISERROR(SEARCH("E1",AA22)))</formula>
    </cfRule>
  </conditionalFormatting>
  <conditionalFormatting sqref="AA23">
    <cfRule type="containsText" dxfId="337" priority="5" operator="containsText" text="E2">
      <formula>NOT(ISERROR(SEARCH("E2",AA23)))</formula>
    </cfRule>
  </conditionalFormatting>
  <conditionalFormatting sqref="AA24">
    <cfRule type="containsText" dxfId="336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86BA28FB-7E8C-45B5-9516-52CD105440A1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692C098-7EAC-42E6-B75C-9B2E67E20972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CBF9DFB7-9CB3-4B3C-8F1E-C65272A56915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857D695A-9AF0-44E1-9BF0-09D17F505A84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081B0117-6C04-45C6-8A96-669FE0E48E3C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D1FF2-4336-4BDC-A8C5-9CBF9938D433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SEG</v>
      </c>
      <c r="C7" s="6" t="str">
        <f t="shared" ref="C7:AF7" si="0">UPPER(TEXT(C8,"[$]ddd"))</f>
        <v>TER</v>
      </c>
      <c r="D7" s="6" t="str">
        <f t="shared" si="0"/>
        <v>QUA</v>
      </c>
      <c r="E7" s="6" t="str">
        <f t="shared" si="0"/>
        <v>QUI</v>
      </c>
      <c r="F7" s="6" t="str">
        <f t="shared" si="0"/>
        <v>SEX</v>
      </c>
      <c r="G7" s="6" t="str">
        <f t="shared" si="0"/>
        <v>SÁB</v>
      </c>
      <c r="H7" s="6" t="str">
        <f t="shared" si="0"/>
        <v>DOM</v>
      </c>
      <c r="I7" s="6" t="str">
        <f t="shared" si="0"/>
        <v>SEG</v>
      </c>
      <c r="J7" s="6" t="str">
        <f t="shared" si="0"/>
        <v>TER</v>
      </c>
      <c r="K7" s="6" t="str">
        <f t="shared" si="0"/>
        <v>QUA</v>
      </c>
      <c r="L7" s="6" t="str">
        <f t="shared" si="0"/>
        <v>QUI</v>
      </c>
      <c r="M7" s="6" t="str">
        <f t="shared" si="0"/>
        <v>SEX</v>
      </c>
      <c r="N7" s="6" t="str">
        <f t="shared" si="0"/>
        <v>SÁB</v>
      </c>
      <c r="O7" s="6" t="str">
        <f t="shared" si="0"/>
        <v>DOM</v>
      </c>
      <c r="P7" s="6" t="str">
        <f t="shared" si="0"/>
        <v>SEG</v>
      </c>
      <c r="Q7" s="6" t="str">
        <f t="shared" si="0"/>
        <v>TER</v>
      </c>
      <c r="R7" s="6" t="str">
        <f t="shared" si="0"/>
        <v>QUA</v>
      </c>
      <c r="S7" s="6" t="str">
        <f t="shared" si="0"/>
        <v>QUI</v>
      </c>
      <c r="T7" s="6" t="str">
        <f t="shared" si="0"/>
        <v>SEX</v>
      </c>
      <c r="U7" s="6" t="str">
        <f t="shared" si="0"/>
        <v>SÁB</v>
      </c>
      <c r="V7" s="6" t="str">
        <f t="shared" si="0"/>
        <v>DOM</v>
      </c>
      <c r="W7" s="6" t="str">
        <f t="shared" si="0"/>
        <v>SEG</v>
      </c>
      <c r="X7" s="6" t="str">
        <f t="shared" si="0"/>
        <v>TER</v>
      </c>
      <c r="Y7" s="6" t="str">
        <f t="shared" si="0"/>
        <v>QUA</v>
      </c>
      <c r="Z7" s="6" t="str">
        <f t="shared" si="0"/>
        <v>QUI</v>
      </c>
      <c r="AA7" s="6" t="str">
        <f t="shared" si="0"/>
        <v>SEX</v>
      </c>
      <c r="AB7" s="6" t="str">
        <f t="shared" si="0"/>
        <v>SÁB</v>
      </c>
      <c r="AC7" s="6" t="str">
        <f t="shared" si="0"/>
        <v>DOM</v>
      </c>
      <c r="AD7" s="6" t="str">
        <f t="shared" si="0"/>
        <v>SEG</v>
      </c>
      <c r="AE7" s="6" t="str">
        <f t="shared" si="0"/>
        <v>TER</v>
      </c>
      <c r="AF7" s="6" t="str">
        <f t="shared" si="0"/>
        <v>QUA</v>
      </c>
    </row>
    <row r="8" spans="1:32" ht="15.75" thickBot="1" x14ac:dyDescent="0.3">
      <c r="A8" s="99"/>
      <c r="B8" s="56">
        <f>D21</f>
        <v>45474</v>
      </c>
      <c r="C8" s="57">
        <f>B8+1</f>
        <v>45475</v>
      </c>
      <c r="D8" s="57">
        <f t="shared" ref="D8:AF8" si="1">C8+1</f>
        <v>45476</v>
      </c>
      <c r="E8" s="57">
        <f t="shared" si="1"/>
        <v>45477</v>
      </c>
      <c r="F8" s="57">
        <f t="shared" si="1"/>
        <v>45478</v>
      </c>
      <c r="G8" s="57">
        <f t="shared" si="1"/>
        <v>45479</v>
      </c>
      <c r="H8" s="57">
        <f t="shared" si="1"/>
        <v>45480</v>
      </c>
      <c r="I8" s="57">
        <f t="shared" si="1"/>
        <v>45481</v>
      </c>
      <c r="J8" s="57">
        <f t="shared" si="1"/>
        <v>45482</v>
      </c>
      <c r="K8" s="57">
        <f t="shared" si="1"/>
        <v>45483</v>
      </c>
      <c r="L8" s="57">
        <f t="shared" si="1"/>
        <v>45484</v>
      </c>
      <c r="M8" s="57">
        <f t="shared" si="1"/>
        <v>45485</v>
      </c>
      <c r="N8" s="57">
        <f t="shared" si="1"/>
        <v>45486</v>
      </c>
      <c r="O8" s="57">
        <f t="shared" si="1"/>
        <v>45487</v>
      </c>
      <c r="P8" s="57">
        <f t="shared" si="1"/>
        <v>45488</v>
      </c>
      <c r="Q8" s="57">
        <f t="shared" si="1"/>
        <v>45489</v>
      </c>
      <c r="R8" s="57">
        <f t="shared" si="1"/>
        <v>45490</v>
      </c>
      <c r="S8" s="57">
        <f t="shared" si="1"/>
        <v>45491</v>
      </c>
      <c r="T8" s="57">
        <f t="shared" si="1"/>
        <v>45492</v>
      </c>
      <c r="U8" s="57">
        <f t="shared" si="1"/>
        <v>45493</v>
      </c>
      <c r="V8" s="57">
        <f t="shared" si="1"/>
        <v>45494</v>
      </c>
      <c r="W8" s="57">
        <f t="shared" si="1"/>
        <v>45495</v>
      </c>
      <c r="X8" s="57">
        <f t="shared" si="1"/>
        <v>45496</v>
      </c>
      <c r="Y8" s="57">
        <f t="shared" si="1"/>
        <v>45497</v>
      </c>
      <c r="Z8" s="57">
        <f t="shared" si="1"/>
        <v>45498</v>
      </c>
      <c r="AA8" s="57">
        <f t="shared" si="1"/>
        <v>45499</v>
      </c>
      <c r="AB8" s="57">
        <f t="shared" si="1"/>
        <v>45500</v>
      </c>
      <c r="AC8" s="57">
        <f t="shared" si="1"/>
        <v>45501</v>
      </c>
      <c r="AD8" s="57">
        <f t="shared" si="1"/>
        <v>45502</v>
      </c>
      <c r="AE8" s="57">
        <f t="shared" si="1"/>
        <v>45503</v>
      </c>
      <c r="AF8" s="58">
        <f t="shared" si="1"/>
        <v>45504</v>
      </c>
    </row>
    <row r="9" spans="1:32" x14ac:dyDescent="0.25">
      <c r="A9" s="19" t="s">
        <v>2</v>
      </c>
      <c r="B9" s="44" t="s">
        <v>3</v>
      </c>
      <c r="C9" s="45" t="s">
        <v>3</v>
      </c>
      <c r="D9" s="45" t="s">
        <v>3</v>
      </c>
      <c r="E9" s="45" t="s">
        <v>3</v>
      </c>
      <c r="F9" s="45" t="s">
        <v>3</v>
      </c>
      <c r="G9" s="45"/>
      <c r="H9" s="45"/>
      <c r="I9" s="45" t="s">
        <v>3</v>
      </c>
      <c r="J9" s="45" t="s">
        <v>3</v>
      </c>
      <c r="K9" s="45" t="s">
        <v>3</v>
      </c>
      <c r="L9" s="45" t="s">
        <v>3</v>
      </c>
      <c r="M9" s="45" t="s">
        <v>3</v>
      </c>
      <c r="N9" s="45"/>
      <c r="O9" s="45"/>
      <c r="P9" s="45" t="s">
        <v>3</v>
      </c>
      <c r="Q9" s="45" t="s">
        <v>3</v>
      </c>
      <c r="R9" s="45" t="s">
        <v>3</v>
      </c>
      <c r="S9" s="45" t="s">
        <v>3</v>
      </c>
      <c r="T9" s="45" t="s">
        <v>3</v>
      </c>
      <c r="U9" s="45"/>
      <c r="V9" s="45"/>
      <c r="W9" s="45" t="s">
        <v>3</v>
      </c>
      <c r="X9" s="45" t="s">
        <v>3</v>
      </c>
      <c r="Y9" s="45" t="s">
        <v>3</v>
      </c>
      <c r="Z9" s="45" t="s">
        <v>3</v>
      </c>
      <c r="AA9" s="45" t="s">
        <v>3</v>
      </c>
      <c r="AB9" s="45"/>
      <c r="AC9" s="45"/>
      <c r="AD9" s="45" t="s">
        <v>3</v>
      </c>
      <c r="AE9" s="45" t="s">
        <v>3</v>
      </c>
      <c r="AF9" s="55" t="s">
        <v>3</v>
      </c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45474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45504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31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335" priority="56">
      <formula>INDIRECT(_xludf.CELL("address"))="$AL$10:$AL$19"</formula>
    </cfRule>
  </conditionalFormatting>
  <conditionalFormatting sqref="B19:AF19">
    <cfRule type="containsText" dxfId="334" priority="55" operator="containsText" text="FE">
      <formula>NOT(ISERROR(SEARCH("FE",B19)))</formula>
    </cfRule>
  </conditionalFormatting>
  <conditionalFormatting sqref="B9:AF18">
    <cfRule type="containsText" dxfId="333" priority="1" operator="containsText" text="E3">
      <formula>NOT(ISERROR(SEARCH("E3",B9)))</formula>
    </cfRule>
    <cfRule type="containsText" dxfId="332" priority="2" operator="containsText" text="E2">
      <formula>NOT(ISERROR(SEARCH("E2",B9)))</formula>
    </cfRule>
    <cfRule type="containsText" dxfId="331" priority="3" operator="containsText" text="E1">
      <formula>NOT(ISERROR(SEARCH("E1",B9)))</formula>
    </cfRule>
    <cfRule type="containsText" dxfId="330" priority="50" operator="containsText" text="DO">
      <formula>NOT(ISERROR(SEARCH("DO",B9)))</formula>
    </cfRule>
    <cfRule type="containsText" dxfId="329" priority="51" operator="containsText" text="VA">
      <formula>NOT(ISERROR(SEARCH("VA",B9)))</formula>
    </cfRule>
    <cfRule type="containsText" dxfId="328" priority="52" operator="containsText" text="T1">
      <formula>NOT(ISERROR(SEARCH("T1",B9)))</formula>
    </cfRule>
    <cfRule type="containsText" dxfId="327" priority="53" operator="containsText" text="T2">
      <formula>NOT(ISERROR(SEARCH("T2",B9)))</formula>
    </cfRule>
    <cfRule type="containsText" dxfId="326" priority="54" operator="containsText" text="T3">
      <formula>NOT(ISERROR(SEARCH("T3",B9)))</formula>
    </cfRule>
  </conditionalFormatting>
  <conditionalFormatting sqref="B8">
    <cfRule type="expression" dxfId="325" priority="49">
      <formula>$B$19="FE"</formula>
    </cfRule>
  </conditionalFormatting>
  <conditionalFormatting sqref="C8">
    <cfRule type="expression" dxfId="324" priority="48">
      <formula>$C$19="FE"</formula>
    </cfRule>
  </conditionalFormatting>
  <conditionalFormatting sqref="D8">
    <cfRule type="expression" dxfId="323" priority="47">
      <formula>$D$19="FE"</formula>
    </cfRule>
  </conditionalFormatting>
  <conditionalFormatting sqref="E8">
    <cfRule type="expression" dxfId="322" priority="46">
      <formula>$E$19="FE"</formula>
    </cfRule>
  </conditionalFormatting>
  <conditionalFormatting sqref="F8">
    <cfRule type="expression" dxfId="321" priority="45">
      <formula>$F$19="FE"</formula>
    </cfRule>
  </conditionalFormatting>
  <conditionalFormatting sqref="G8">
    <cfRule type="expression" dxfId="320" priority="44">
      <formula>$G$19="FE"</formula>
    </cfRule>
  </conditionalFormatting>
  <conditionalFormatting sqref="H8">
    <cfRule type="expression" dxfId="319" priority="43">
      <formula>$H$19="FE"</formula>
    </cfRule>
  </conditionalFormatting>
  <conditionalFormatting sqref="I8">
    <cfRule type="expression" dxfId="318" priority="42">
      <formula>$I$19="FE"</formula>
    </cfRule>
  </conditionalFormatting>
  <conditionalFormatting sqref="J8">
    <cfRule type="expression" dxfId="317" priority="41">
      <formula>$J$19="FE"</formula>
    </cfRule>
  </conditionalFormatting>
  <conditionalFormatting sqref="K8">
    <cfRule type="expression" dxfId="316" priority="40">
      <formula>$K$19="FE"</formula>
    </cfRule>
  </conditionalFormatting>
  <conditionalFormatting sqref="L8">
    <cfRule type="expression" dxfId="315" priority="39">
      <formula>$L$19="FE"</formula>
    </cfRule>
  </conditionalFormatting>
  <conditionalFormatting sqref="M8">
    <cfRule type="expression" dxfId="314" priority="38">
      <formula>$M$19="FE"</formula>
    </cfRule>
  </conditionalFormatting>
  <conditionalFormatting sqref="N8">
    <cfRule type="expression" dxfId="313" priority="37">
      <formula>$N$19="FE"</formula>
    </cfRule>
  </conditionalFormatting>
  <conditionalFormatting sqref="O8">
    <cfRule type="expression" dxfId="312" priority="36">
      <formula>$O$19="FE"</formula>
    </cfRule>
  </conditionalFormatting>
  <conditionalFormatting sqref="P8">
    <cfRule type="expression" dxfId="311" priority="35">
      <formula>$P$19="FE"</formula>
    </cfRule>
  </conditionalFormatting>
  <conditionalFormatting sqref="Q8">
    <cfRule type="expression" dxfId="310" priority="34">
      <formula>$Q$19="FE"</formula>
    </cfRule>
  </conditionalFormatting>
  <conditionalFormatting sqref="R8">
    <cfRule type="expression" dxfId="309" priority="33">
      <formula>$R$19="FE"</formula>
    </cfRule>
  </conditionalFormatting>
  <conditionalFormatting sqref="S8">
    <cfRule type="expression" dxfId="308" priority="32">
      <formula>$S$19="FE"</formula>
    </cfRule>
  </conditionalFormatting>
  <conditionalFormatting sqref="T8">
    <cfRule type="expression" dxfId="307" priority="31">
      <formula>$T$19="FE"</formula>
    </cfRule>
  </conditionalFormatting>
  <conditionalFormatting sqref="U8">
    <cfRule type="expression" dxfId="306" priority="30">
      <formula>$U$19="FE"</formula>
    </cfRule>
  </conditionalFormatting>
  <conditionalFormatting sqref="V8">
    <cfRule type="expression" dxfId="305" priority="29">
      <formula>$V$19="FE"</formula>
    </cfRule>
  </conditionalFormatting>
  <conditionalFormatting sqref="W8">
    <cfRule type="expression" dxfId="304" priority="28">
      <formula>$W$19="FE"</formula>
    </cfRule>
  </conditionalFormatting>
  <conditionalFormatting sqref="X8">
    <cfRule type="expression" dxfId="303" priority="27">
      <formula>$X$19="FE"</formula>
    </cfRule>
  </conditionalFormatting>
  <conditionalFormatting sqref="Y8">
    <cfRule type="expression" dxfId="302" priority="26">
      <formula>$Y$19="FE"</formula>
    </cfRule>
  </conditionalFormatting>
  <conditionalFormatting sqref="Z8">
    <cfRule type="expression" dxfId="301" priority="25">
      <formula>$Z$19="FE"</formula>
    </cfRule>
  </conditionalFormatting>
  <conditionalFormatting sqref="AA8">
    <cfRule type="expression" dxfId="300" priority="24">
      <formula>$AA$19="FE"</formula>
    </cfRule>
  </conditionalFormatting>
  <conditionalFormatting sqref="AB8">
    <cfRule type="expression" dxfId="299" priority="23">
      <formula>$AB$19="FE"</formula>
    </cfRule>
  </conditionalFormatting>
  <conditionalFormatting sqref="AC8">
    <cfRule type="expression" dxfId="298" priority="22">
      <formula>$AC$19="FE"</formula>
    </cfRule>
  </conditionalFormatting>
  <conditionalFormatting sqref="AD8">
    <cfRule type="expression" dxfId="297" priority="21">
      <formula>$AD$19="FE"</formula>
    </cfRule>
  </conditionalFormatting>
  <conditionalFormatting sqref="AE8">
    <cfRule type="expression" dxfId="296" priority="20">
      <formula>$AE$19="FE"</formula>
    </cfRule>
  </conditionalFormatting>
  <conditionalFormatting sqref="AF8">
    <cfRule type="expression" dxfId="295" priority="19">
      <formula>$AF$19="FE"</formula>
    </cfRule>
  </conditionalFormatting>
  <conditionalFormatting sqref="B7:AF7">
    <cfRule type="containsText" dxfId="294" priority="17" operator="containsText" text="DOM">
      <formula>NOT(ISERROR(SEARCH("DOM",B7)))</formula>
    </cfRule>
    <cfRule type="containsText" dxfId="293" priority="18" operator="containsText" text="SÁB">
      <formula>NOT(ISERROR(SEARCH("SÁB",B7)))</formula>
    </cfRule>
  </conditionalFormatting>
  <conditionalFormatting sqref="J23">
    <cfRule type="containsText" dxfId="292" priority="16" operator="containsText" text="FE">
      <formula>NOT(ISERROR(SEARCH("FE",J23)))</formula>
    </cfRule>
  </conditionalFormatting>
  <conditionalFormatting sqref="N21">
    <cfRule type="containsText" dxfId="291" priority="13" operator="containsText" text="T3">
      <formula>NOT(ISERROR(SEARCH("T3",N21)))</formula>
    </cfRule>
    <cfRule type="containsText" dxfId="290" priority="14" operator="containsText" text="T2">
      <formula>NOT(ISERROR(SEARCH("T2",N21)))</formula>
    </cfRule>
    <cfRule type="containsText" dxfId="289" priority="15" operator="containsText" text="T1">
      <formula>NOT(ISERROR(SEARCH("T1",N21)))</formula>
    </cfRule>
  </conditionalFormatting>
  <conditionalFormatting sqref="N24">
    <cfRule type="containsText" dxfId="288" priority="10" operator="containsText" text="T3">
      <formula>NOT(ISERROR(SEARCH("T3",N24)))</formula>
    </cfRule>
    <cfRule type="containsText" dxfId="287" priority="11" operator="containsText" text="T2">
      <formula>NOT(ISERROR(SEARCH("T2",N24)))</formula>
    </cfRule>
    <cfRule type="containsText" dxfId="286" priority="12" operator="containsText" text="T1">
      <formula>NOT(ISERROR(SEARCH("T1",N24)))</formula>
    </cfRule>
  </conditionalFormatting>
  <conditionalFormatting sqref="N25">
    <cfRule type="containsText" dxfId="285" priority="7" operator="containsText" text="T3">
      <formula>NOT(ISERROR(SEARCH("T3",N25)))</formula>
    </cfRule>
    <cfRule type="containsText" dxfId="284" priority="8" operator="containsText" text="T2">
      <formula>NOT(ISERROR(SEARCH("T2",N25)))</formula>
    </cfRule>
    <cfRule type="containsText" dxfId="283" priority="9" operator="containsText" text="T1">
      <formula>NOT(ISERROR(SEARCH("T1",N25)))</formula>
    </cfRule>
  </conditionalFormatting>
  <conditionalFormatting sqref="AA22">
    <cfRule type="containsText" dxfId="282" priority="6" operator="containsText" text="E1">
      <formula>NOT(ISERROR(SEARCH("E1",AA22)))</formula>
    </cfRule>
  </conditionalFormatting>
  <conditionalFormatting sqref="AA23">
    <cfRule type="containsText" dxfId="281" priority="5" operator="containsText" text="E2">
      <formula>NOT(ISERROR(SEARCH("E2",AA23)))</formula>
    </cfRule>
  </conditionalFormatting>
  <conditionalFormatting sqref="AA24">
    <cfRule type="containsText" dxfId="280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9AA4EA97-9EE3-454B-B507-1CF2A280DC1E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BEAAE11-EB5E-433F-A9A4-BAB2067A17BD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A8E84684-F229-4956-90AC-768E34FF6B24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DB457A25-7D5D-4AA9-9398-BC9189325612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5F042C3E-DA1B-419E-BC73-2E8749103CD6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5754-96B9-4396-A36D-0CAD60DA2C2A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QUI</v>
      </c>
      <c r="C7" s="6" t="str">
        <f t="shared" ref="C7:AF7" si="0">UPPER(TEXT(C8,"[$]ddd"))</f>
        <v>SEX</v>
      </c>
      <c r="D7" s="6" t="str">
        <f t="shared" si="0"/>
        <v>SÁB</v>
      </c>
      <c r="E7" s="6" t="str">
        <f t="shared" si="0"/>
        <v>DOM</v>
      </c>
      <c r="F7" s="6" t="str">
        <f t="shared" si="0"/>
        <v>SEG</v>
      </c>
      <c r="G7" s="6" t="str">
        <f t="shared" si="0"/>
        <v>TER</v>
      </c>
      <c r="H7" s="6" t="str">
        <f t="shared" si="0"/>
        <v>QUA</v>
      </c>
      <c r="I7" s="6" t="str">
        <f t="shared" si="0"/>
        <v>QUI</v>
      </c>
      <c r="J7" s="6" t="str">
        <f t="shared" si="0"/>
        <v>SEX</v>
      </c>
      <c r="K7" s="6" t="str">
        <f t="shared" si="0"/>
        <v>SÁB</v>
      </c>
      <c r="L7" s="6" t="str">
        <f t="shared" si="0"/>
        <v>DOM</v>
      </c>
      <c r="M7" s="6" t="str">
        <f t="shared" si="0"/>
        <v>SEG</v>
      </c>
      <c r="N7" s="6" t="str">
        <f t="shared" si="0"/>
        <v>TER</v>
      </c>
      <c r="O7" s="6" t="str">
        <f t="shared" si="0"/>
        <v>QUA</v>
      </c>
      <c r="P7" s="6" t="str">
        <f t="shared" si="0"/>
        <v>QUI</v>
      </c>
      <c r="Q7" s="6" t="str">
        <f t="shared" si="0"/>
        <v>SEX</v>
      </c>
      <c r="R7" s="6" t="str">
        <f t="shared" si="0"/>
        <v>SÁB</v>
      </c>
      <c r="S7" s="6" t="str">
        <f t="shared" si="0"/>
        <v>DOM</v>
      </c>
      <c r="T7" s="6" t="str">
        <f t="shared" si="0"/>
        <v>SEG</v>
      </c>
      <c r="U7" s="6" t="str">
        <f t="shared" si="0"/>
        <v>TER</v>
      </c>
      <c r="V7" s="6" t="str">
        <f t="shared" si="0"/>
        <v>QUA</v>
      </c>
      <c r="W7" s="6" t="str">
        <f t="shared" si="0"/>
        <v>QUI</v>
      </c>
      <c r="X7" s="6" t="str">
        <f t="shared" si="0"/>
        <v>SEX</v>
      </c>
      <c r="Y7" s="6" t="str">
        <f t="shared" si="0"/>
        <v>SÁB</v>
      </c>
      <c r="Z7" s="6" t="str">
        <f t="shared" si="0"/>
        <v>DOM</v>
      </c>
      <c r="AA7" s="6" t="str">
        <f t="shared" si="0"/>
        <v>SEG</v>
      </c>
      <c r="AB7" s="6" t="str">
        <f t="shared" si="0"/>
        <v>TER</v>
      </c>
      <c r="AC7" s="6" t="str">
        <f t="shared" si="0"/>
        <v>QUA</v>
      </c>
      <c r="AD7" s="6" t="str">
        <f t="shared" si="0"/>
        <v>QUI</v>
      </c>
      <c r="AE7" s="6" t="str">
        <f t="shared" si="0"/>
        <v>SEX</v>
      </c>
      <c r="AF7" s="6" t="str">
        <f t="shared" si="0"/>
        <v>SÁB</v>
      </c>
    </row>
    <row r="8" spans="1:32" ht="15.75" thickBot="1" x14ac:dyDescent="0.3">
      <c r="A8" s="99"/>
      <c r="B8" s="56">
        <f>D21</f>
        <v>45505</v>
      </c>
      <c r="C8" s="57">
        <f>B8+1</f>
        <v>45506</v>
      </c>
      <c r="D8" s="57">
        <f t="shared" ref="D8:AF8" si="1">C8+1</f>
        <v>45507</v>
      </c>
      <c r="E8" s="57">
        <f t="shared" si="1"/>
        <v>45508</v>
      </c>
      <c r="F8" s="57">
        <f t="shared" si="1"/>
        <v>45509</v>
      </c>
      <c r="G8" s="57">
        <f t="shared" si="1"/>
        <v>45510</v>
      </c>
      <c r="H8" s="57">
        <f t="shared" si="1"/>
        <v>45511</v>
      </c>
      <c r="I8" s="57">
        <f t="shared" si="1"/>
        <v>45512</v>
      </c>
      <c r="J8" s="57">
        <f t="shared" si="1"/>
        <v>45513</v>
      </c>
      <c r="K8" s="57">
        <f t="shared" si="1"/>
        <v>45514</v>
      </c>
      <c r="L8" s="57">
        <f t="shared" si="1"/>
        <v>45515</v>
      </c>
      <c r="M8" s="57">
        <f t="shared" si="1"/>
        <v>45516</v>
      </c>
      <c r="N8" s="57">
        <f t="shared" si="1"/>
        <v>45517</v>
      </c>
      <c r="O8" s="57">
        <f t="shared" si="1"/>
        <v>45518</v>
      </c>
      <c r="P8" s="57">
        <f t="shared" si="1"/>
        <v>45519</v>
      </c>
      <c r="Q8" s="57">
        <f t="shared" si="1"/>
        <v>45520</v>
      </c>
      <c r="R8" s="57">
        <f t="shared" si="1"/>
        <v>45521</v>
      </c>
      <c r="S8" s="57">
        <f t="shared" si="1"/>
        <v>45522</v>
      </c>
      <c r="T8" s="57">
        <f t="shared" si="1"/>
        <v>45523</v>
      </c>
      <c r="U8" s="57">
        <f t="shared" si="1"/>
        <v>45524</v>
      </c>
      <c r="V8" s="57">
        <f t="shared" si="1"/>
        <v>45525</v>
      </c>
      <c r="W8" s="57">
        <f t="shared" si="1"/>
        <v>45526</v>
      </c>
      <c r="X8" s="57">
        <f t="shared" si="1"/>
        <v>45527</v>
      </c>
      <c r="Y8" s="57">
        <f t="shared" si="1"/>
        <v>45528</v>
      </c>
      <c r="Z8" s="57">
        <f t="shared" si="1"/>
        <v>45529</v>
      </c>
      <c r="AA8" s="57">
        <f t="shared" si="1"/>
        <v>45530</v>
      </c>
      <c r="AB8" s="57">
        <f t="shared" si="1"/>
        <v>45531</v>
      </c>
      <c r="AC8" s="57">
        <f t="shared" si="1"/>
        <v>45532</v>
      </c>
      <c r="AD8" s="57">
        <f t="shared" si="1"/>
        <v>45533</v>
      </c>
      <c r="AE8" s="57">
        <f t="shared" si="1"/>
        <v>45534</v>
      </c>
      <c r="AF8" s="58">
        <f t="shared" si="1"/>
        <v>45535</v>
      </c>
    </row>
    <row r="9" spans="1:32" x14ac:dyDescent="0.25">
      <c r="A9" s="19" t="s">
        <v>2</v>
      </c>
      <c r="B9" s="44" t="s">
        <v>3</v>
      </c>
      <c r="C9" s="45" t="s">
        <v>3</v>
      </c>
      <c r="D9" s="45"/>
      <c r="E9" s="45"/>
      <c r="F9" s="45" t="s">
        <v>3</v>
      </c>
      <c r="G9" s="45" t="s">
        <v>3</v>
      </c>
      <c r="H9" s="45" t="s">
        <v>3</v>
      </c>
      <c r="I9" s="45" t="s">
        <v>3</v>
      </c>
      <c r="J9" s="45" t="s">
        <v>3</v>
      </c>
      <c r="K9" s="45"/>
      <c r="L9" s="45"/>
      <c r="M9" s="45" t="s">
        <v>3</v>
      </c>
      <c r="N9" s="45" t="s">
        <v>3</v>
      </c>
      <c r="O9" s="45" t="s">
        <v>3</v>
      </c>
      <c r="P9" s="45" t="s">
        <v>3</v>
      </c>
      <c r="Q9" s="45" t="s">
        <v>3</v>
      </c>
      <c r="R9" s="45"/>
      <c r="S9" s="45"/>
      <c r="T9" s="45" t="s">
        <v>3</v>
      </c>
      <c r="U9" s="45" t="s">
        <v>3</v>
      </c>
      <c r="V9" s="45" t="s">
        <v>3</v>
      </c>
      <c r="W9" s="45" t="s">
        <v>3</v>
      </c>
      <c r="X9" s="45" t="s">
        <v>3</v>
      </c>
      <c r="Y9" s="45"/>
      <c r="Z9" s="45"/>
      <c r="AA9" s="45" t="s">
        <v>3</v>
      </c>
      <c r="AB9" s="45" t="s">
        <v>3</v>
      </c>
      <c r="AC9" s="45" t="s">
        <v>3</v>
      </c>
      <c r="AD9" s="45" t="s">
        <v>3</v>
      </c>
      <c r="AE9" s="45" t="s">
        <v>3</v>
      </c>
      <c r="AF9" s="55"/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45505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45535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31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279" priority="56">
      <formula>INDIRECT(_xludf.CELL("address"))="$AL$10:$AL$19"</formula>
    </cfRule>
  </conditionalFormatting>
  <conditionalFormatting sqref="B19:AF19">
    <cfRule type="containsText" dxfId="278" priority="55" operator="containsText" text="FE">
      <formula>NOT(ISERROR(SEARCH("FE",B19)))</formula>
    </cfRule>
  </conditionalFormatting>
  <conditionalFormatting sqref="B9:AF18">
    <cfRule type="containsText" dxfId="277" priority="1" operator="containsText" text="E3">
      <formula>NOT(ISERROR(SEARCH("E3",B9)))</formula>
    </cfRule>
    <cfRule type="containsText" dxfId="276" priority="2" operator="containsText" text="E2">
      <formula>NOT(ISERROR(SEARCH("E2",B9)))</formula>
    </cfRule>
    <cfRule type="containsText" dxfId="275" priority="3" operator="containsText" text="E1">
      <formula>NOT(ISERROR(SEARCH("E1",B9)))</formula>
    </cfRule>
    <cfRule type="containsText" dxfId="274" priority="50" operator="containsText" text="DO">
      <formula>NOT(ISERROR(SEARCH("DO",B9)))</formula>
    </cfRule>
    <cfRule type="containsText" dxfId="273" priority="51" operator="containsText" text="VA">
      <formula>NOT(ISERROR(SEARCH("VA",B9)))</formula>
    </cfRule>
    <cfRule type="containsText" dxfId="272" priority="52" operator="containsText" text="T1">
      <formula>NOT(ISERROR(SEARCH("T1",B9)))</formula>
    </cfRule>
    <cfRule type="containsText" dxfId="271" priority="53" operator="containsText" text="T2">
      <formula>NOT(ISERROR(SEARCH("T2",B9)))</formula>
    </cfRule>
    <cfRule type="containsText" dxfId="270" priority="54" operator="containsText" text="T3">
      <formula>NOT(ISERROR(SEARCH("T3",B9)))</formula>
    </cfRule>
  </conditionalFormatting>
  <conditionalFormatting sqref="B8">
    <cfRule type="expression" dxfId="269" priority="49">
      <formula>$B$19="FE"</formula>
    </cfRule>
  </conditionalFormatting>
  <conditionalFormatting sqref="C8">
    <cfRule type="expression" dxfId="268" priority="48">
      <formula>$C$19="FE"</formula>
    </cfRule>
  </conditionalFormatting>
  <conditionalFormatting sqref="D8">
    <cfRule type="expression" dxfId="267" priority="47">
      <formula>$D$19="FE"</formula>
    </cfRule>
  </conditionalFormatting>
  <conditionalFormatting sqref="E8">
    <cfRule type="expression" dxfId="266" priority="46">
      <formula>$E$19="FE"</formula>
    </cfRule>
  </conditionalFormatting>
  <conditionalFormatting sqref="F8">
    <cfRule type="expression" dxfId="265" priority="45">
      <formula>$F$19="FE"</formula>
    </cfRule>
  </conditionalFormatting>
  <conditionalFormatting sqref="G8">
    <cfRule type="expression" dxfId="264" priority="44">
      <formula>$G$19="FE"</formula>
    </cfRule>
  </conditionalFormatting>
  <conditionalFormatting sqref="H8">
    <cfRule type="expression" dxfId="263" priority="43">
      <formula>$H$19="FE"</formula>
    </cfRule>
  </conditionalFormatting>
  <conditionalFormatting sqref="I8">
    <cfRule type="expression" dxfId="262" priority="42">
      <formula>$I$19="FE"</formula>
    </cfRule>
  </conditionalFormatting>
  <conditionalFormatting sqref="J8">
    <cfRule type="expression" dxfId="261" priority="41">
      <formula>$J$19="FE"</formula>
    </cfRule>
  </conditionalFormatting>
  <conditionalFormatting sqref="K8">
    <cfRule type="expression" dxfId="260" priority="40">
      <formula>$K$19="FE"</formula>
    </cfRule>
  </conditionalFormatting>
  <conditionalFormatting sqref="L8">
    <cfRule type="expression" dxfId="259" priority="39">
      <formula>$L$19="FE"</formula>
    </cfRule>
  </conditionalFormatting>
  <conditionalFormatting sqref="M8">
    <cfRule type="expression" dxfId="258" priority="38">
      <formula>$M$19="FE"</formula>
    </cfRule>
  </conditionalFormatting>
  <conditionalFormatting sqref="N8">
    <cfRule type="expression" dxfId="257" priority="37">
      <formula>$N$19="FE"</formula>
    </cfRule>
  </conditionalFormatting>
  <conditionalFormatting sqref="O8">
    <cfRule type="expression" dxfId="256" priority="36">
      <formula>$O$19="FE"</formula>
    </cfRule>
  </conditionalFormatting>
  <conditionalFormatting sqref="P8">
    <cfRule type="expression" dxfId="255" priority="35">
      <formula>$P$19="FE"</formula>
    </cfRule>
  </conditionalFormatting>
  <conditionalFormatting sqref="Q8">
    <cfRule type="expression" dxfId="254" priority="34">
      <formula>$Q$19="FE"</formula>
    </cfRule>
  </conditionalFormatting>
  <conditionalFormatting sqref="R8">
    <cfRule type="expression" dxfId="253" priority="33">
      <formula>$R$19="FE"</formula>
    </cfRule>
  </conditionalFormatting>
  <conditionalFormatting sqref="S8">
    <cfRule type="expression" dxfId="252" priority="32">
      <formula>$S$19="FE"</formula>
    </cfRule>
  </conditionalFormatting>
  <conditionalFormatting sqref="T8">
    <cfRule type="expression" dxfId="251" priority="31">
      <formula>$T$19="FE"</formula>
    </cfRule>
  </conditionalFormatting>
  <conditionalFormatting sqref="U8">
    <cfRule type="expression" dxfId="250" priority="30">
      <formula>$U$19="FE"</formula>
    </cfRule>
  </conditionalFormatting>
  <conditionalFormatting sqref="V8">
    <cfRule type="expression" dxfId="249" priority="29">
      <formula>$V$19="FE"</formula>
    </cfRule>
  </conditionalFormatting>
  <conditionalFormatting sqref="W8">
    <cfRule type="expression" dxfId="248" priority="28">
      <formula>$W$19="FE"</formula>
    </cfRule>
  </conditionalFormatting>
  <conditionalFormatting sqref="X8">
    <cfRule type="expression" dxfId="247" priority="27">
      <formula>$X$19="FE"</formula>
    </cfRule>
  </conditionalFormatting>
  <conditionalFormatting sqref="Y8">
    <cfRule type="expression" dxfId="246" priority="26">
      <formula>$Y$19="FE"</formula>
    </cfRule>
  </conditionalFormatting>
  <conditionalFormatting sqref="Z8">
    <cfRule type="expression" dxfId="245" priority="25">
      <formula>$Z$19="FE"</formula>
    </cfRule>
  </conditionalFormatting>
  <conditionalFormatting sqref="AA8">
    <cfRule type="expression" dxfId="244" priority="24">
      <formula>$AA$19="FE"</formula>
    </cfRule>
  </conditionalFormatting>
  <conditionalFormatting sqref="AB8">
    <cfRule type="expression" dxfId="243" priority="23">
      <formula>$AB$19="FE"</formula>
    </cfRule>
  </conditionalFormatting>
  <conditionalFormatting sqref="AC8">
    <cfRule type="expression" dxfId="242" priority="22">
      <formula>$AC$19="FE"</formula>
    </cfRule>
  </conditionalFormatting>
  <conditionalFormatting sqref="AD8">
    <cfRule type="expression" dxfId="241" priority="21">
      <formula>$AD$19="FE"</formula>
    </cfRule>
  </conditionalFormatting>
  <conditionalFormatting sqref="AE8">
    <cfRule type="expression" dxfId="240" priority="20">
      <formula>$AE$19="FE"</formula>
    </cfRule>
  </conditionalFormatting>
  <conditionalFormatting sqref="AF8">
    <cfRule type="expression" dxfId="239" priority="19">
      <formula>$AF$19="FE"</formula>
    </cfRule>
  </conditionalFormatting>
  <conditionalFormatting sqref="B7:AF7">
    <cfRule type="containsText" dxfId="238" priority="17" operator="containsText" text="DOM">
      <formula>NOT(ISERROR(SEARCH("DOM",B7)))</formula>
    </cfRule>
    <cfRule type="containsText" dxfId="237" priority="18" operator="containsText" text="SÁB">
      <formula>NOT(ISERROR(SEARCH("SÁB",B7)))</formula>
    </cfRule>
  </conditionalFormatting>
  <conditionalFormatting sqref="J23">
    <cfRule type="containsText" dxfId="236" priority="16" operator="containsText" text="FE">
      <formula>NOT(ISERROR(SEARCH("FE",J23)))</formula>
    </cfRule>
  </conditionalFormatting>
  <conditionalFormatting sqref="N21">
    <cfRule type="containsText" dxfId="235" priority="13" operator="containsText" text="T3">
      <formula>NOT(ISERROR(SEARCH("T3",N21)))</formula>
    </cfRule>
    <cfRule type="containsText" dxfId="234" priority="14" operator="containsText" text="T2">
      <formula>NOT(ISERROR(SEARCH("T2",N21)))</formula>
    </cfRule>
    <cfRule type="containsText" dxfId="233" priority="15" operator="containsText" text="T1">
      <formula>NOT(ISERROR(SEARCH("T1",N21)))</formula>
    </cfRule>
  </conditionalFormatting>
  <conditionalFormatting sqref="N24">
    <cfRule type="containsText" dxfId="232" priority="10" operator="containsText" text="T3">
      <formula>NOT(ISERROR(SEARCH("T3",N24)))</formula>
    </cfRule>
    <cfRule type="containsText" dxfId="231" priority="11" operator="containsText" text="T2">
      <formula>NOT(ISERROR(SEARCH("T2",N24)))</formula>
    </cfRule>
    <cfRule type="containsText" dxfId="230" priority="12" operator="containsText" text="T1">
      <formula>NOT(ISERROR(SEARCH("T1",N24)))</formula>
    </cfRule>
  </conditionalFormatting>
  <conditionalFormatting sqref="N25">
    <cfRule type="containsText" dxfId="229" priority="7" operator="containsText" text="T3">
      <formula>NOT(ISERROR(SEARCH("T3",N25)))</formula>
    </cfRule>
    <cfRule type="containsText" dxfId="228" priority="8" operator="containsText" text="T2">
      <formula>NOT(ISERROR(SEARCH("T2",N25)))</formula>
    </cfRule>
    <cfRule type="containsText" dxfId="227" priority="9" operator="containsText" text="T1">
      <formula>NOT(ISERROR(SEARCH("T1",N25)))</formula>
    </cfRule>
  </conditionalFormatting>
  <conditionalFormatting sqref="AA22">
    <cfRule type="containsText" dxfId="226" priority="6" operator="containsText" text="E1">
      <formula>NOT(ISERROR(SEARCH("E1",AA22)))</formula>
    </cfRule>
  </conditionalFormatting>
  <conditionalFormatting sqref="AA23">
    <cfRule type="containsText" dxfId="225" priority="5" operator="containsText" text="E2">
      <formula>NOT(ISERROR(SEARCH("E2",AA23)))</formula>
    </cfRule>
  </conditionalFormatting>
  <conditionalFormatting sqref="AA24">
    <cfRule type="containsText" dxfId="224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CC09EA43-3407-4F46-9894-2EDBEA1E8403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BFEDBDC-BB50-4B14-876F-C6C19ECFD1CC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052DFC05-B78A-41AC-9B0C-BBCFD46823F5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405DD4FA-81D6-4CFA-AF9E-4BAE2C2FD0A9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97E28A3E-D0CB-42EB-B842-A6499CF55FC0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967D-77A9-45CD-A389-1D018D02A41E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DOM</v>
      </c>
      <c r="C7" s="6" t="str">
        <f t="shared" ref="C7:AF7" si="0">UPPER(TEXT(C8,"[$]ddd"))</f>
        <v>SEG</v>
      </c>
      <c r="D7" s="6" t="str">
        <f t="shared" si="0"/>
        <v>TER</v>
      </c>
      <c r="E7" s="6" t="str">
        <f t="shared" si="0"/>
        <v>QUA</v>
      </c>
      <c r="F7" s="6" t="str">
        <f t="shared" si="0"/>
        <v>QUI</v>
      </c>
      <c r="G7" s="6" t="str">
        <f t="shared" si="0"/>
        <v>SEX</v>
      </c>
      <c r="H7" s="6" t="str">
        <f t="shared" si="0"/>
        <v>SÁB</v>
      </c>
      <c r="I7" s="6" t="str">
        <f t="shared" si="0"/>
        <v>DOM</v>
      </c>
      <c r="J7" s="6" t="str">
        <f t="shared" si="0"/>
        <v>SEG</v>
      </c>
      <c r="K7" s="6" t="str">
        <f t="shared" si="0"/>
        <v>TER</v>
      </c>
      <c r="L7" s="6" t="str">
        <f t="shared" si="0"/>
        <v>QUA</v>
      </c>
      <c r="M7" s="6" t="str">
        <f t="shared" si="0"/>
        <v>QUI</v>
      </c>
      <c r="N7" s="6" t="str">
        <f t="shared" si="0"/>
        <v>SEX</v>
      </c>
      <c r="O7" s="6" t="str">
        <f t="shared" si="0"/>
        <v>SÁB</v>
      </c>
      <c r="P7" s="6" t="str">
        <f t="shared" si="0"/>
        <v>DOM</v>
      </c>
      <c r="Q7" s="6" t="str">
        <f t="shared" si="0"/>
        <v>SEG</v>
      </c>
      <c r="R7" s="6" t="str">
        <f t="shared" si="0"/>
        <v>TER</v>
      </c>
      <c r="S7" s="6" t="str">
        <f t="shared" si="0"/>
        <v>QUA</v>
      </c>
      <c r="T7" s="6" t="str">
        <f t="shared" si="0"/>
        <v>QUI</v>
      </c>
      <c r="U7" s="6" t="str">
        <f t="shared" si="0"/>
        <v>SEX</v>
      </c>
      <c r="V7" s="6" t="str">
        <f t="shared" si="0"/>
        <v>SÁB</v>
      </c>
      <c r="W7" s="6" t="str">
        <f t="shared" si="0"/>
        <v>DOM</v>
      </c>
      <c r="X7" s="6" t="str">
        <f t="shared" si="0"/>
        <v>SEG</v>
      </c>
      <c r="Y7" s="6" t="str">
        <f t="shared" si="0"/>
        <v>TER</v>
      </c>
      <c r="Z7" s="6" t="str">
        <f t="shared" si="0"/>
        <v>QUA</v>
      </c>
      <c r="AA7" s="6" t="str">
        <f t="shared" si="0"/>
        <v>QUI</v>
      </c>
      <c r="AB7" s="6" t="str">
        <f t="shared" si="0"/>
        <v>SEX</v>
      </c>
      <c r="AC7" s="6" t="str">
        <f t="shared" si="0"/>
        <v>SÁB</v>
      </c>
      <c r="AD7" s="6" t="str">
        <f t="shared" si="0"/>
        <v>DOM</v>
      </c>
      <c r="AE7" s="6" t="str">
        <f t="shared" si="0"/>
        <v>SEG</v>
      </c>
      <c r="AF7" s="6" t="str">
        <f t="shared" si="0"/>
        <v>TER</v>
      </c>
    </row>
    <row r="8" spans="1:32" ht="15.75" thickBot="1" x14ac:dyDescent="0.3">
      <c r="A8" s="99"/>
      <c r="B8" s="56">
        <f>D21</f>
        <v>45536</v>
      </c>
      <c r="C8" s="57">
        <f>B8+1</f>
        <v>45537</v>
      </c>
      <c r="D8" s="57">
        <f t="shared" ref="D8:AF8" si="1">C8+1</f>
        <v>45538</v>
      </c>
      <c r="E8" s="57">
        <f t="shared" si="1"/>
        <v>45539</v>
      </c>
      <c r="F8" s="57">
        <f t="shared" si="1"/>
        <v>45540</v>
      </c>
      <c r="G8" s="57">
        <f t="shared" si="1"/>
        <v>45541</v>
      </c>
      <c r="H8" s="57">
        <f t="shared" si="1"/>
        <v>45542</v>
      </c>
      <c r="I8" s="57">
        <f t="shared" si="1"/>
        <v>45543</v>
      </c>
      <c r="J8" s="57">
        <f t="shared" si="1"/>
        <v>45544</v>
      </c>
      <c r="K8" s="57">
        <f t="shared" si="1"/>
        <v>45545</v>
      </c>
      <c r="L8" s="57">
        <f t="shared" si="1"/>
        <v>45546</v>
      </c>
      <c r="M8" s="57">
        <f t="shared" si="1"/>
        <v>45547</v>
      </c>
      <c r="N8" s="57">
        <f t="shared" si="1"/>
        <v>45548</v>
      </c>
      <c r="O8" s="57">
        <f t="shared" si="1"/>
        <v>45549</v>
      </c>
      <c r="P8" s="57">
        <f t="shared" si="1"/>
        <v>45550</v>
      </c>
      <c r="Q8" s="57">
        <f t="shared" si="1"/>
        <v>45551</v>
      </c>
      <c r="R8" s="57">
        <f t="shared" si="1"/>
        <v>45552</v>
      </c>
      <c r="S8" s="57">
        <f t="shared" si="1"/>
        <v>45553</v>
      </c>
      <c r="T8" s="57">
        <f t="shared" si="1"/>
        <v>45554</v>
      </c>
      <c r="U8" s="57">
        <f t="shared" si="1"/>
        <v>45555</v>
      </c>
      <c r="V8" s="57">
        <f t="shared" si="1"/>
        <v>45556</v>
      </c>
      <c r="W8" s="57">
        <f t="shared" si="1"/>
        <v>45557</v>
      </c>
      <c r="X8" s="57">
        <f t="shared" si="1"/>
        <v>45558</v>
      </c>
      <c r="Y8" s="57">
        <f t="shared" si="1"/>
        <v>45559</v>
      </c>
      <c r="Z8" s="57">
        <f t="shared" si="1"/>
        <v>45560</v>
      </c>
      <c r="AA8" s="57">
        <f t="shared" si="1"/>
        <v>45561</v>
      </c>
      <c r="AB8" s="57">
        <f t="shared" si="1"/>
        <v>45562</v>
      </c>
      <c r="AC8" s="57">
        <f t="shared" si="1"/>
        <v>45563</v>
      </c>
      <c r="AD8" s="57">
        <f t="shared" si="1"/>
        <v>45564</v>
      </c>
      <c r="AE8" s="57">
        <f t="shared" si="1"/>
        <v>45565</v>
      </c>
      <c r="AF8" s="58">
        <f t="shared" si="1"/>
        <v>45566</v>
      </c>
    </row>
    <row r="9" spans="1:32" x14ac:dyDescent="0.25">
      <c r="A9" s="19" t="s">
        <v>2</v>
      </c>
      <c r="B9" s="44"/>
      <c r="C9" s="45" t="s">
        <v>3</v>
      </c>
      <c r="D9" s="45" t="s">
        <v>3</v>
      </c>
      <c r="E9" s="45" t="s">
        <v>3</v>
      </c>
      <c r="F9" s="45" t="s">
        <v>3</v>
      </c>
      <c r="G9" s="45" t="s">
        <v>3</v>
      </c>
      <c r="H9" s="45"/>
      <c r="I9" s="45"/>
      <c r="J9" s="45" t="s">
        <v>3</v>
      </c>
      <c r="K9" s="45" t="s">
        <v>3</v>
      </c>
      <c r="L9" s="45" t="s">
        <v>3</v>
      </c>
      <c r="M9" s="45" t="s">
        <v>3</v>
      </c>
      <c r="N9" s="45" t="s">
        <v>3</v>
      </c>
      <c r="O9" s="45"/>
      <c r="P9" s="45"/>
      <c r="Q9" s="45" t="s">
        <v>3</v>
      </c>
      <c r="R9" s="45" t="s">
        <v>3</v>
      </c>
      <c r="S9" s="45" t="s">
        <v>3</v>
      </c>
      <c r="T9" s="45" t="s">
        <v>3</v>
      </c>
      <c r="U9" s="45" t="s">
        <v>3</v>
      </c>
      <c r="V9" s="45"/>
      <c r="W9" s="45"/>
      <c r="X9" s="45" t="s">
        <v>3</v>
      </c>
      <c r="Y9" s="45" t="s">
        <v>3</v>
      </c>
      <c r="Z9" s="45" t="s">
        <v>3</v>
      </c>
      <c r="AA9" s="45" t="s">
        <v>3</v>
      </c>
      <c r="AB9" s="45" t="s">
        <v>3</v>
      </c>
      <c r="AC9" s="45"/>
      <c r="AD9" s="45"/>
      <c r="AE9" s="45" t="s">
        <v>3</v>
      </c>
      <c r="AF9" s="55" t="s">
        <v>3</v>
      </c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>FE</v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45536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45565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30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223" priority="56">
      <formula>INDIRECT(_xludf.CELL("address"))="$AL$10:$AL$19"</formula>
    </cfRule>
  </conditionalFormatting>
  <conditionalFormatting sqref="B19:AF19">
    <cfRule type="containsText" dxfId="222" priority="55" operator="containsText" text="FE">
      <formula>NOT(ISERROR(SEARCH("FE",B19)))</formula>
    </cfRule>
  </conditionalFormatting>
  <conditionalFormatting sqref="B9:AF18">
    <cfRule type="containsText" dxfId="221" priority="1" operator="containsText" text="E3">
      <formula>NOT(ISERROR(SEARCH("E3",B9)))</formula>
    </cfRule>
    <cfRule type="containsText" dxfId="220" priority="2" operator="containsText" text="E2">
      <formula>NOT(ISERROR(SEARCH("E2",B9)))</formula>
    </cfRule>
    <cfRule type="containsText" dxfId="219" priority="3" operator="containsText" text="E1">
      <formula>NOT(ISERROR(SEARCH("E1",B9)))</formula>
    </cfRule>
    <cfRule type="containsText" dxfId="218" priority="50" operator="containsText" text="DO">
      <formula>NOT(ISERROR(SEARCH("DO",B9)))</formula>
    </cfRule>
    <cfRule type="containsText" dxfId="217" priority="51" operator="containsText" text="VA">
      <formula>NOT(ISERROR(SEARCH("VA",B9)))</formula>
    </cfRule>
    <cfRule type="containsText" dxfId="216" priority="52" operator="containsText" text="T1">
      <formula>NOT(ISERROR(SEARCH("T1",B9)))</formula>
    </cfRule>
    <cfRule type="containsText" dxfId="215" priority="53" operator="containsText" text="T2">
      <formula>NOT(ISERROR(SEARCH("T2",B9)))</formula>
    </cfRule>
    <cfRule type="containsText" dxfId="214" priority="54" operator="containsText" text="T3">
      <formula>NOT(ISERROR(SEARCH("T3",B9)))</formula>
    </cfRule>
  </conditionalFormatting>
  <conditionalFormatting sqref="B8">
    <cfRule type="expression" dxfId="213" priority="49">
      <formula>$B$19="FE"</formula>
    </cfRule>
  </conditionalFormatting>
  <conditionalFormatting sqref="C8">
    <cfRule type="expression" dxfId="212" priority="48">
      <formula>$C$19="FE"</formula>
    </cfRule>
  </conditionalFormatting>
  <conditionalFormatting sqref="D8">
    <cfRule type="expression" dxfId="211" priority="47">
      <formula>$D$19="FE"</formula>
    </cfRule>
  </conditionalFormatting>
  <conditionalFormatting sqref="E8">
    <cfRule type="expression" dxfId="210" priority="46">
      <formula>$E$19="FE"</formula>
    </cfRule>
  </conditionalFormatting>
  <conditionalFormatting sqref="F8">
    <cfRule type="expression" dxfId="209" priority="45">
      <formula>$F$19="FE"</formula>
    </cfRule>
  </conditionalFormatting>
  <conditionalFormatting sqref="G8">
    <cfRule type="expression" dxfId="208" priority="44">
      <formula>$G$19="FE"</formula>
    </cfRule>
  </conditionalFormatting>
  <conditionalFormatting sqref="H8">
    <cfRule type="expression" dxfId="207" priority="43">
      <formula>$H$19="FE"</formula>
    </cfRule>
  </conditionalFormatting>
  <conditionalFormatting sqref="I8">
    <cfRule type="expression" dxfId="206" priority="42">
      <formula>$I$19="FE"</formula>
    </cfRule>
  </conditionalFormatting>
  <conditionalFormatting sqref="J8">
    <cfRule type="expression" dxfId="205" priority="41">
      <formula>$J$19="FE"</formula>
    </cfRule>
  </conditionalFormatting>
  <conditionalFormatting sqref="K8">
    <cfRule type="expression" dxfId="204" priority="40">
      <formula>$K$19="FE"</formula>
    </cfRule>
  </conditionalFormatting>
  <conditionalFormatting sqref="L8">
    <cfRule type="expression" dxfId="203" priority="39">
      <formula>$L$19="FE"</formula>
    </cfRule>
  </conditionalFormatting>
  <conditionalFormatting sqref="M8">
    <cfRule type="expression" dxfId="202" priority="38">
      <formula>$M$19="FE"</formula>
    </cfRule>
  </conditionalFormatting>
  <conditionalFormatting sqref="N8">
    <cfRule type="expression" dxfId="201" priority="37">
      <formula>$N$19="FE"</formula>
    </cfRule>
  </conditionalFormatting>
  <conditionalFormatting sqref="O8">
    <cfRule type="expression" dxfId="200" priority="36">
      <formula>$O$19="FE"</formula>
    </cfRule>
  </conditionalFormatting>
  <conditionalFormatting sqref="P8">
    <cfRule type="expression" dxfId="199" priority="35">
      <formula>$P$19="FE"</formula>
    </cfRule>
  </conditionalFormatting>
  <conditionalFormatting sqref="Q8">
    <cfRule type="expression" dxfId="198" priority="34">
      <formula>$Q$19="FE"</formula>
    </cfRule>
  </conditionalFormatting>
  <conditionalFormatting sqref="R8">
    <cfRule type="expression" dxfId="197" priority="33">
      <formula>$R$19="FE"</formula>
    </cfRule>
  </conditionalFormatting>
  <conditionalFormatting sqref="S8">
    <cfRule type="expression" dxfId="196" priority="32">
      <formula>$S$19="FE"</formula>
    </cfRule>
  </conditionalFormatting>
  <conditionalFormatting sqref="T8">
    <cfRule type="expression" dxfId="195" priority="31">
      <formula>$T$19="FE"</formula>
    </cfRule>
  </conditionalFormatting>
  <conditionalFormatting sqref="U8">
    <cfRule type="expression" dxfId="194" priority="30">
      <formula>$U$19="FE"</formula>
    </cfRule>
  </conditionalFormatting>
  <conditionalFormatting sqref="V8">
    <cfRule type="expression" dxfId="193" priority="29">
      <formula>$V$19="FE"</formula>
    </cfRule>
  </conditionalFormatting>
  <conditionalFormatting sqref="W8">
    <cfRule type="expression" dxfId="192" priority="28">
      <formula>$W$19="FE"</formula>
    </cfRule>
  </conditionalFormatting>
  <conditionalFormatting sqref="X8">
    <cfRule type="expression" dxfId="191" priority="27">
      <formula>$X$19="FE"</formula>
    </cfRule>
  </conditionalFormatting>
  <conditionalFormatting sqref="Y8">
    <cfRule type="expression" dxfId="190" priority="26">
      <formula>$Y$19="FE"</formula>
    </cfRule>
  </conditionalFormatting>
  <conditionalFormatting sqref="Z8">
    <cfRule type="expression" dxfId="189" priority="25">
      <formula>$Z$19="FE"</formula>
    </cfRule>
  </conditionalFormatting>
  <conditionalFormatting sqref="AA8">
    <cfRule type="expression" dxfId="188" priority="24">
      <formula>$AA$19="FE"</formula>
    </cfRule>
  </conditionalFormatting>
  <conditionalFormatting sqref="AB8">
    <cfRule type="expression" dxfId="187" priority="23">
      <formula>$AB$19="FE"</formula>
    </cfRule>
  </conditionalFormatting>
  <conditionalFormatting sqref="AC8">
    <cfRule type="expression" dxfId="186" priority="22">
      <formula>$AC$19="FE"</formula>
    </cfRule>
  </conditionalFormatting>
  <conditionalFormatting sqref="AD8">
    <cfRule type="expression" dxfId="185" priority="21">
      <formula>$AD$19="FE"</formula>
    </cfRule>
  </conditionalFormatting>
  <conditionalFormatting sqref="AE8">
    <cfRule type="expression" dxfId="184" priority="20">
      <formula>$AE$19="FE"</formula>
    </cfRule>
  </conditionalFormatting>
  <conditionalFormatting sqref="AF8">
    <cfRule type="expression" dxfId="183" priority="19">
      <formula>$AF$19="FE"</formula>
    </cfRule>
  </conditionalFormatting>
  <conditionalFormatting sqref="B7:AF7">
    <cfRule type="containsText" dxfId="182" priority="17" operator="containsText" text="DOM">
      <formula>NOT(ISERROR(SEARCH("DOM",B7)))</formula>
    </cfRule>
    <cfRule type="containsText" dxfId="181" priority="18" operator="containsText" text="SÁB">
      <formula>NOT(ISERROR(SEARCH("SÁB",B7)))</formula>
    </cfRule>
  </conditionalFormatting>
  <conditionalFormatting sqref="J23">
    <cfRule type="containsText" dxfId="180" priority="16" operator="containsText" text="FE">
      <formula>NOT(ISERROR(SEARCH("FE",J23)))</formula>
    </cfRule>
  </conditionalFormatting>
  <conditionalFormatting sqref="N21">
    <cfRule type="containsText" dxfId="179" priority="13" operator="containsText" text="T3">
      <formula>NOT(ISERROR(SEARCH("T3",N21)))</formula>
    </cfRule>
    <cfRule type="containsText" dxfId="178" priority="14" operator="containsText" text="T2">
      <formula>NOT(ISERROR(SEARCH("T2",N21)))</formula>
    </cfRule>
    <cfRule type="containsText" dxfId="177" priority="15" operator="containsText" text="T1">
      <formula>NOT(ISERROR(SEARCH("T1",N21)))</formula>
    </cfRule>
  </conditionalFormatting>
  <conditionalFormatting sqref="N24">
    <cfRule type="containsText" dxfId="176" priority="10" operator="containsText" text="T3">
      <formula>NOT(ISERROR(SEARCH("T3",N24)))</formula>
    </cfRule>
    <cfRule type="containsText" dxfId="175" priority="11" operator="containsText" text="T2">
      <formula>NOT(ISERROR(SEARCH("T2",N24)))</formula>
    </cfRule>
    <cfRule type="containsText" dxfId="174" priority="12" operator="containsText" text="T1">
      <formula>NOT(ISERROR(SEARCH("T1",N24)))</formula>
    </cfRule>
  </conditionalFormatting>
  <conditionalFormatting sqref="N25">
    <cfRule type="containsText" dxfId="173" priority="7" operator="containsText" text="T3">
      <formula>NOT(ISERROR(SEARCH("T3",N25)))</formula>
    </cfRule>
    <cfRule type="containsText" dxfId="172" priority="8" operator="containsText" text="T2">
      <formula>NOT(ISERROR(SEARCH("T2",N25)))</formula>
    </cfRule>
    <cfRule type="containsText" dxfId="171" priority="9" operator="containsText" text="T1">
      <formula>NOT(ISERROR(SEARCH("T1",N25)))</formula>
    </cfRule>
  </conditionalFormatting>
  <conditionalFormatting sqref="AA22">
    <cfRule type="containsText" dxfId="170" priority="6" operator="containsText" text="E1">
      <formula>NOT(ISERROR(SEARCH("E1",AA22)))</formula>
    </cfRule>
  </conditionalFormatting>
  <conditionalFormatting sqref="AA23">
    <cfRule type="containsText" dxfId="169" priority="5" operator="containsText" text="E2">
      <formula>NOT(ISERROR(SEARCH("E2",AA23)))</formula>
    </cfRule>
  </conditionalFormatting>
  <conditionalFormatting sqref="AA24">
    <cfRule type="containsText" dxfId="168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FB978FCC-DA6F-4F49-8887-6C8CEC4DCBD3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FB9195-A5E4-471D-A8FB-EA2043C53201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D5A34297-7C0E-4D9F-A53D-42FD2AA3D3C7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15FB87EC-A6EE-43C2-9D16-839FB39378F0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90D57C0F-69E0-4438-8B83-D8EE3DE03AB9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DCA39-3FD1-4967-9510-DF3D155297B4}">
  <dimension ref="A1:AF39"/>
  <sheetViews>
    <sheetView zoomScale="80" zoomScaleNormal="80" workbookViewId="0">
      <selection activeCell="AD41" sqref="AD41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TER</v>
      </c>
      <c r="C7" s="6" t="str">
        <f t="shared" ref="C7:AF7" si="0">UPPER(TEXT(C8,"[$]ddd"))</f>
        <v>QUA</v>
      </c>
      <c r="D7" s="6" t="str">
        <f t="shared" si="0"/>
        <v>QUI</v>
      </c>
      <c r="E7" s="6" t="str">
        <f t="shared" si="0"/>
        <v>SEX</v>
      </c>
      <c r="F7" s="6" t="str">
        <f t="shared" si="0"/>
        <v>SÁB</v>
      </c>
      <c r="G7" s="6" t="str">
        <f t="shared" si="0"/>
        <v>DOM</v>
      </c>
      <c r="H7" s="6" t="str">
        <f t="shared" si="0"/>
        <v>SEG</v>
      </c>
      <c r="I7" s="6" t="str">
        <f t="shared" si="0"/>
        <v>TER</v>
      </c>
      <c r="J7" s="6" t="str">
        <f t="shared" si="0"/>
        <v>QUA</v>
      </c>
      <c r="K7" s="6" t="str">
        <f t="shared" si="0"/>
        <v>QUI</v>
      </c>
      <c r="L7" s="6" t="str">
        <f t="shared" si="0"/>
        <v>SEX</v>
      </c>
      <c r="M7" s="6" t="str">
        <f t="shared" si="0"/>
        <v>SÁB</v>
      </c>
      <c r="N7" s="6" t="str">
        <f t="shared" si="0"/>
        <v>DOM</v>
      </c>
      <c r="O7" s="6" t="str">
        <f t="shared" si="0"/>
        <v>SEG</v>
      </c>
      <c r="P7" s="6" t="str">
        <f t="shared" si="0"/>
        <v>TER</v>
      </c>
      <c r="Q7" s="6" t="str">
        <f t="shared" si="0"/>
        <v>QUA</v>
      </c>
      <c r="R7" s="6" t="str">
        <f t="shared" si="0"/>
        <v>QUI</v>
      </c>
      <c r="S7" s="6" t="str">
        <f t="shared" si="0"/>
        <v>SEX</v>
      </c>
      <c r="T7" s="6" t="str">
        <f t="shared" si="0"/>
        <v>SÁB</v>
      </c>
      <c r="U7" s="6" t="str">
        <f t="shared" si="0"/>
        <v>DOM</v>
      </c>
      <c r="V7" s="6" t="str">
        <f t="shared" si="0"/>
        <v>SEG</v>
      </c>
      <c r="W7" s="6" t="str">
        <f t="shared" si="0"/>
        <v>TER</v>
      </c>
      <c r="X7" s="6" t="str">
        <f t="shared" si="0"/>
        <v>QUA</v>
      </c>
      <c r="Y7" s="6" t="str">
        <f t="shared" si="0"/>
        <v>QUI</v>
      </c>
      <c r="Z7" s="6" t="str">
        <f t="shared" si="0"/>
        <v>SEX</v>
      </c>
      <c r="AA7" s="6" t="str">
        <f t="shared" si="0"/>
        <v>SÁB</v>
      </c>
      <c r="AB7" s="6" t="str">
        <f t="shared" si="0"/>
        <v>DOM</v>
      </c>
      <c r="AC7" s="6" t="str">
        <f t="shared" si="0"/>
        <v>SEG</v>
      </c>
      <c r="AD7" s="6" t="str">
        <f t="shared" si="0"/>
        <v>TER</v>
      </c>
      <c r="AE7" s="6" t="str">
        <f t="shared" si="0"/>
        <v>QUA</v>
      </c>
      <c r="AF7" s="6" t="str">
        <f t="shared" si="0"/>
        <v>QUI</v>
      </c>
    </row>
    <row r="8" spans="1:32" ht="15.75" thickBot="1" x14ac:dyDescent="0.3">
      <c r="A8" s="99"/>
      <c r="B8" s="56">
        <f>D21</f>
        <v>45566</v>
      </c>
      <c r="C8" s="57">
        <f>B8+1</f>
        <v>45567</v>
      </c>
      <c r="D8" s="57">
        <f t="shared" ref="D8:AF8" si="1">C8+1</f>
        <v>45568</v>
      </c>
      <c r="E8" s="57">
        <f t="shared" si="1"/>
        <v>45569</v>
      </c>
      <c r="F8" s="57">
        <f t="shared" si="1"/>
        <v>45570</v>
      </c>
      <c r="G8" s="57">
        <f t="shared" si="1"/>
        <v>45571</v>
      </c>
      <c r="H8" s="57">
        <f t="shared" si="1"/>
        <v>45572</v>
      </c>
      <c r="I8" s="57">
        <f t="shared" si="1"/>
        <v>45573</v>
      </c>
      <c r="J8" s="57">
        <f t="shared" si="1"/>
        <v>45574</v>
      </c>
      <c r="K8" s="57">
        <f t="shared" si="1"/>
        <v>45575</v>
      </c>
      <c r="L8" s="57">
        <f t="shared" si="1"/>
        <v>45576</v>
      </c>
      <c r="M8" s="57">
        <f t="shared" si="1"/>
        <v>45577</v>
      </c>
      <c r="N8" s="57">
        <f t="shared" si="1"/>
        <v>45578</v>
      </c>
      <c r="O8" s="57">
        <f t="shared" si="1"/>
        <v>45579</v>
      </c>
      <c r="P8" s="57">
        <f t="shared" si="1"/>
        <v>45580</v>
      </c>
      <c r="Q8" s="57">
        <f t="shared" si="1"/>
        <v>45581</v>
      </c>
      <c r="R8" s="57">
        <f t="shared" si="1"/>
        <v>45582</v>
      </c>
      <c r="S8" s="57">
        <f t="shared" si="1"/>
        <v>45583</v>
      </c>
      <c r="T8" s="57">
        <f t="shared" si="1"/>
        <v>45584</v>
      </c>
      <c r="U8" s="57">
        <f t="shared" si="1"/>
        <v>45585</v>
      </c>
      <c r="V8" s="57">
        <f t="shared" si="1"/>
        <v>45586</v>
      </c>
      <c r="W8" s="57">
        <f t="shared" si="1"/>
        <v>45587</v>
      </c>
      <c r="X8" s="57">
        <f t="shared" si="1"/>
        <v>45588</v>
      </c>
      <c r="Y8" s="57">
        <f t="shared" si="1"/>
        <v>45589</v>
      </c>
      <c r="Z8" s="57">
        <f t="shared" si="1"/>
        <v>45590</v>
      </c>
      <c r="AA8" s="57">
        <f t="shared" si="1"/>
        <v>45591</v>
      </c>
      <c r="AB8" s="57">
        <f t="shared" si="1"/>
        <v>45592</v>
      </c>
      <c r="AC8" s="57">
        <f t="shared" si="1"/>
        <v>45593</v>
      </c>
      <c r="AD8" s="57">
        <f t="shared" si="1"/>
        <v>45594</v>
      </c>
      <c r="AE8" s="57">
        <f t="shared" si="1"/>
        <v>45595</v>
      </c>
      <c r="AF8" s="58">
        <f t="shared" si="1"/>
        <v>45596</v>
      </c>
    </row>
    <row r="9" spans="1:32" x14ac:dyDescent="0.25">
      <c r="A9" s="19" t="s">
        <v>2</v>
      </c>
      <c r="B9" s="44" t="s">
        <v>3</v>
      </c>
      <c r="C9" s="45" t="s">
        <v>3</v>
      </c>
      <c r="D9" s="45" t="s">
        <v>3</v>
      </c>
      <c r="E9" s="45" t="s">
        <v>3</v>
      </c>
      <c r="F9" s="45"/>
      <c r="G9" s="45"/>
      <c r="H9" s="45" t="s">
        <v>3</v>
      </c>
      <c r="I9" s="45" t="s">
        <v>3</v>
      </c>
      <c r="J9" s="45" t="s">
        <v>3</v>
      </c>
      <c r="K9" s="45" t="s">
        <v>3</v>
      </c>
      <c r="L9" s="45" t="s">
        <v>3</v>
      </c>
      <c r="M9" s="45"/>
      <c r="N9" s="45"/>
      <c r="O9" s="45" t="s">
        <v>3</v>
      </c>
      <c r="P9" s="45" t="s">
        <v>3</v>
      </c>
      <c r="Q9" s="45" t="s">
        <v>3</v>
      </c>
      <c r="R9" s="45" t="s">
        <v>3</v>
      </c>
      <c r="S9" s="45" t="s">
        <v>3</v>
      </c>
      <c r="T9" s="45"/>
      <c r="U9" s="45"/>
      <c r="V9" s="45" t="s">
        <v>3</v>
      </c>
      <c r="W9" s="45" t="s">
        <v>3</v>
      </c>
      <c r="X9" s="45" t="s">
        <v>3</v>
      </c>
      <c r="Y9" s="45" t="s">
        <v>3</v>
      </c>
      <c r="Z9" s="45" t="s">
        <v>3</v>
      </c>
      <c r="AA9" s="45"/>
      <c r="AB9" s="45"/>
      <c r="AC9" s="45" t="s">
        <v>3</v>
      </c>
      <c r="AD9" s="45" t="s">
        <v>3</v>
      </c>
      <c r="AE9" s="45" t="s">
        <v>3</v>
      </c>
      <c r="AF9" s="55" t="s">
        <v>3</v>
      </c>
    </row>
    <row r="10" spans="1:32" x14ac:dyDescent="0.25">
      <c r="A10" s="20" t="s">
        <v>4</v>
      </c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>FE</v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45566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45596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31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167" priority="56">
      <formula>INDIRECT(_xludf.CELL("address"))="$AL$10:$AL$19"</formula>
    </cfRule>
  </conditionalFormatting>
  <conditionalFormatting sqref="B19:AF19">
    <cfRule type="containsText" dxfId="166" priority="55" operator="containsText" text="FE">
      <formula>NOT(ISERROR(SEARCH("FE",B19)))</formula>
    </cfRule>
  </conditionalFormatting>
  <conditionalFormatting sqref="B9:AF18">
    <cfRule type="containsText" dxfId="165" priority="1" operator="containsText" text="E3">
      <formula>NOT(ISERROR(SEARCH("E3",B9)))</formula>
    </cfRule>
    <cfRule type="containsText" dxfId="164" priority="2" operator="containsText" text="E2">
      <formula>NOT(ISERROR(SEARCH("E2",B9)))</formula>
    </cfRule>
    <cfRule type="containsText" dxfId="163" priority="3" operator="containsText" text="E1">
      <formula>NOT(ISERROR(SEARCH("E1",B9)))</formula>
    </cfRule>
    <cfRule type="containsText" dxfId="162" priority="50" operator="containsText" text="DO">
      <formula>NOT(ISERROR(SEARCH("DO",B9)))</formula>
    </cfRule>
    <cfRule type="containsText" dxfId="161" priority="51" operator="containsText" text="VA">
      <formula>NOT(ISERROR(SEARCH("VA",B9)))</formula>
    </cfRule>
    <cfRule type="containsText" dxfId="160" priority="52" operator="containsText" text="T1">
      <formula>NOT(ISERROR(SEARCH("T1",B9)))</formula>
    </cfRule>
    <cfRule type="containsText" dxfId="159" priority="53" operator="containsText" text="T2">
      <formula>NOT(ISERROR(SEARCH("T2",B9)))</formula>
    </cfRule>
    <cfRule type="containsText" dxfId="158" priority="54" operator="containsText" text="T3">
      <formula>NOT(ISERROR(SEARCH("T3",B9)))</formula>
    </cfRule>
  </conditionalFormatting>
  <conditionalFormatting sqref="B8">
    <cfRule type="expression" dxfId="157" priority="49">
      <formula>$B$19="FE"</formula>
    </cfRule>
  </conditionalFormatting>
  <conditionalFormatting sqref="C8">
    <cfRule type="expression" dxfId="156" priority="48">
      <formula>$C$19="FE"</formula>
    </cfRule>
  </conditionalFormatting>
  <conditionalFormatting sqref="D8">
    <cfRule type="expression" dxfId="155" priority="47">
      <formula>$D$19="FE"</formula>
    </cfRule>
  </conditionalFormatting>
  <conditionalFormatting sqref="E8">
    <cfRule type="expression" dxfId="154" priority="46">
      <formula>$E$19="FE"</formula>
    </cfRule>
  </conditionalFormatting>
  <conditionalFormatting sqref="F8">
    <cfRule type="expression" dxfId="153" priority="45">
      <formula>$F$19="FE"</formula>
    </cfRule>
  </conditionalFormatting>
  <conditionalFormatting sqref="G8">
    <cfRule type="expression" dxfId="152" priority="44">
      <formula>$G$19="FE"</formula>
    </cfRule>
  </conditionalFormatting>
  <conditionalFormatting sqref="H8">
    <cfRule type="expression" dxfId="151" priority="43">
      <formula>$H$19="FE"</formula>
    </cfRule>
  </conditionalFormatting>
  <conditionalFormatting sqref="I8">
    <cfRule type="expression" dxfId="150" priority="42">
      <formula>$I$19="FE"</formula>
    </cfRule>
  </conditionalFormatting>
  <conditionalFormatting sqref="J8">
    <cfRule type="expression" dxfId="149" priority="41">
      <formula>$J$19="FE"</formula>
    </cfRule>
  </conditionalFormatting>
  <conditionalFormatting sqref="K8">
    <cfRule type="expression" dxfId="148" priority="40">
      <formula>$K$19="FE"</formula>
    </cfRule>
  </conditionalFormatting>
  <conditionalFormatting sqref="L8">
    <cfRule type="expression" dxfId="147" priority="39">
      <formula>$L$19="FE"</formula>
    </cfRule>
  </conditionalFormatting>
  <conditionalFormatting sqref="M8">
    <cfRule type="expression" dxfId="146" priority="38">
      <formula>$M$19="FE"</formula>
    </cfRule>
  </conditionalFormatting>
  <conditionalFormatting sqref="N8">
    <cfRule type="expression" dxfId="145" priority="37">
      <formula>$N$19="FE"</formula>
    </cfRule>
  </conditionalFormatting>
  <conditionalFormatting sqref="O8">
    <cfRule type="expression" dxfId="144" priority="36">
      <formula>$O$19="FE"</formula>
    </cfRule>
  </conditionalFormatting>
  <conditionalFormatting sqref="P8">
    <cfRule type="expression" dxfId="143" priority="35">
      <formula>$P$19="FE"</formula>
    </cfRule>
  </conditionalFormatting>
  <conditionalFormatting sqref="Q8">
    <cfRule type="expression" dxfId="142" priority="34">
      <formula>$Q$19="FE"</formula>
    </cfRule>
  </conditionalFormatting>
  <conditionalFormatting sqref="R8">
    <cfRule type="expression" dxfId="141" priority="33">
      <formula>$R$19="FE"</formula>
    </cfRule>
  </conditionalFormatting>
  <conditionalFormatting sqref="S8">
    <cfRule type="expression" dxfId="140" priority="32">
      <formula>$S$19="FE"</formula>
    </cfRule>
  </conditionalFormatting>
  <conditionalFormatting sqref="T8">
    <cfRule type="expression" dxfId="139" priority="31">
      <formula>$T$19="FE"</formula>
    </cfRule>
  </conditionalFormatting>
  <conditionalFormatting sqref="U8">
    <cfRule type="expression" dxfId="138" priority="30">
      <formula>$U$19="FE"</formula>
    </cfRule>
  </conditionalFormatting>
  <conditionalFormatting sqref="V8">
    <cfRule type="expression" dxfId="137" priority="29">
      <formula>$V$19="FE"</formula>
    </cfRule>
  </conditionalFormatting>
  <conditionalFormatting sqref="W8">
    <cfRule type="expression" dxfId="136" priority="28">
      <formula>$W$19="FE"</formula>
    </cfRule>
  </conditionalFormatting>
  <conditionalFormatting sqref="X8">
    <cfRule type="expression" dxfId="135" priority="27">
      <formula>$X$19="FE"</formula>
    </cfRule>
  </conditionalFormatting>
  <conditionalFormatting sqref="Y8">
    <cfRule type="expression" dxfId="134" priority="26">
      <formula>$Y$19="FE"</formula>
    </cfRule>
  </conditionalFormatting>
  <conditionalFormatting sqref="Z8">
    <cfRule type="expression" dxfId="133" priority="25">
      <formula>$Z$19="FE"</formula>
    </cfRule>
  </conditionalFormatting>
  <conditionalFormatting sqref="AA8">
    <cfRule type="expression" dxfId="132" priority="24">
      <formula>$AA$19="FE"</formula>
    </cfRule>
  </conditionalFormatting>
  <conditionalFormatting sqref="AB8">
    <cfRule type="expression" dxfId="131" priority="23">
      <formula>$AB$19="FE"</formula>
    </cfRule>
  </conditionalFormatting>
  <conditionalFormatting sqref="AC8">
    <cfRule type="expression" dxfId="130" priority="22">
      <formula>$AC$19="FE"</formula>
    </cfRule>
  </conditionalFormatting>
  <conditionalFormatting sqref="AD8">
    <cfRule type="expression" dxfId="129" priority="21">
      <formula>$AD$19="FE"</formula>
    </cfRule>
  </conditionalFormatting>
  <conditionalFormatting sqref="AE8">
    <cfRule type="expression" dxfId="128" priority="20">
      <formula>$AE$19="FE"</formula>
    </cfRule>
  </conditionalFormatting>
  <conditionalFormatting sqref="AF8">
    <cfRule type="expression" dxfId="127" priority="19">
      <formula>$AF$19="FE"</formula>
    </cfRule>
  </conditionalFormatting>
  <conditionalFormatting sqref="B7:AF7">
    <cfRule type="containsText" dxfId="126" priority="17" operator="containsText" text="DOM">
      <formula>NOT(ISERROR(SEARCH("DOM",B7)))</formula>
    </cfRule>
    <cfRule type="containsText" dxfId="125" priority="18" operator="containsText" text="SÁB">
      <formula>NOT(ISERROR(SEARCH("SÁB",B7)))</formula>
    </cfRule>
  </conditionalFormatting>
  <conditionalFormatting sqref="J23">
    <cfRule type="containsText" dxfId="124" priority="16" operator="containsText" text="FE">
      <formula>NOT(ISERROR(SEARCH("FE",J23)))</formula>
    </cfRule>
  </conditionalFormatting>
  <conditionalFormatting sqref="N21">
    <cfRule type="containsText" dxfId="123" priority="13" operator="containsText" text="T3">
      <formula>NOT(ISERROR(SEARCH("T3",N21)))</formula>
    </cfRule>
    <cfRule type="containsText" dxfId="122" priority="14" operator="containsText" text="T2">
      <formula>NOT(ISERROR(SEARCH("T2",N21)))</formula>
    </cfRule>
    <cfRule type="containsText" dxfId="121" priority="15" operator="containsText" text="T1">
      <formula>NOT(ISERROR(SEARCH("T1",N21)))</formula>
    </cfRule>
  </conditionalFormatting>
  <conditionalFormatting sqref="N24">
    <cfRule type="containsText" dxfId="120" priority="10" operator="containsText" text="T3">
      <formula>NOT(ISERROR(SEARCH("T3",N24)))</formula>
    </cfRule>
    <cfRule type="containsText" dxfId="119" priority="11" operator="containsText" text="T2">
      <formula>NOT(ISERROR(SEARCH("T2",N24)))</formula>
    </cfRule>
    <cfRule type="containsText" dxfId="118" priority="12" operator="containsText" text="T1">
      <formula>NOT(ISERROR(SEARCH("T1",N24)))</formula>
    </cfRule>
  </conditionalFormatting>
  <conditionalFormatting sqref="N25">
    <cfRule type="containsText" dxfId="117" priority="7" operator="containsText" text="T3">
      <formula>NOT(ISERROR(SEARCH("T3",N25)))</formula>
    </cfRule>
    <cfRule type="containsText" dxfId="116" priority="8" operator="containsText" text="T2">
      <formula>NOT(ISERROR(SEARCH("T2",N25)))</formula>
    </cfRule>
    <cfRule type="containsText" dxfId="115" priority="9" operator="containsText" text="T1">
      <formula>NOT(ISERROR(SEARCH("T1",N25)))</formula>
    </cfRule>
  </conditionalFormatting>
  <conditionalFormatting sqref="AA22">
    <cfRule type="containsText" dxfId="114" priority="6" operator="containsText" text="E1">
      <formula>NOT(ISERROR(SEARCH("E1",AA22)))</formula>
    </cfRule>
  </conditionalFormatting>
  <conditionalFormatting sqref="AA23">
    <cfRule type="containsText" dxfId="113" priority="5" operator="containsText" text="E2">
      <formula>NOT(ISERROR(SEARCH("E2",AA23)))</formula>
    </cfRule>
  </conditionalFormatting>
  <conditionalFormatting sqref="AA24">
    <cfRule type="containsText" dxfId="112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0B3688EC-3BDC-4194-ADAE-AB24A8038FB0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20F083E-CDBB-44B4-BC1D-E77F776B3F0D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0AA440D2-517B-4F31-9F4B-7558AB6F777B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BFDA9E0F-6A73-4267-A21E-3213B99A4848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CC6EF8CE-85AF-4A37-A564-AC8523D7BACF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E4C54-B7A8-4484-B557-BB362F4DAF2A}">
  <dimension ref="A1:AF39"/>
  <sheetViews>
    <sheetView tabSelected="1"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SEX</v>
      </c>
      <c r="C7" s="6" t="str">
        <f t="shared" ref="C7:AF7" si="0">UPPER(TEXT(C8,"[$]ddd"))</f>
        <v>SÁB</v>
      </c>
      <c r="D7" s="6" t="str">
        <f t="shared" si="0"/>
        <v>DOM</v>
      </c>
      <c r="E7" s="6" t="str">
        <f t="shared" si="0"/>
        <v>SEG</v>
      </c>
      <c r="F7" s="6" t="str">
        <f t="shared" si="0"/>
        <v>TER</v>
      </c>
      <c r="G7" s="6" t="str">
        <f t="shared" si="0"/>
        <v>QUA</v>
      </c>
      <c r="H7" s="6" t="str">
        <f t="shared" si="0"/>
        <v>QUI</v>
      </c>
      <c r="I7" s="6" t="str">
        <f t="shared" si="0"/>
        <v>SEX</v>
      </c>
      <c r="J7" s="6" t="str">
        <f t="shared" si="0"/>
        <v>SÁB</v>
      </c>
      <c r="K7" s="6" t="str">
        <f t="shared" si="0"/>
        <v>DOM</v>
      </c>
      <c r="L7" s="6" t="str">
        <f t="shared" si="0"/>
        <v>SEG</v>
      </c>
      <c r="M7" s="6" t="str">
        <f t="shared" si="0"/>
        <v>TER</v>
      </c>
      <c r="N7" s="6" t="str">
        <f t="shared" si="0"/>
        <v>QUA</v>
      </c>
      <c r="O7" s="6" t="str">
        <f t="shared" si="0"/>
        <v>QUI</v>
      </c>
      <c r="P7" s="6" t="str">
        <f t="shared" si="0"/>
        <v>SEX</v>
      </c>
      <c r="Q7" s="6" t="str">
        <f t="shared" si="0"/>
        <v>SÁB</v>
      </c>
      <c r="R7" s="6" t="str">
        <f t="shared" si="0"/>
        <v>DOM</v>
      </c>
      <c r="S7" s="6" t="str">
        <f t="shared" si="0"/>
        <v>SEG</v>
      </c>
      <c r="T7" s="6" t="str">
        <f t="shared" si="0"/>
        <v>TER</v>
      </c>
      <c r="U7" s="6" t="str">
        <f t="shared" si="0"/>
        <v>QUA</v>
      </c>
      <c r="V7" s="6" t="str">
        <f t="shared" si="0"/>
        <v>QUI</v>
      </c>
      <c r="W7" s="6" t="str">
        <f t="shared" si="0"/>
        <v>SEX</v>
      </c>
      <c r="X7" s="6" t="str">
        <f t="shared" si="0"/>
        <v>SÁB</v>
      </c>
      <c r="Y7" s="6" t="str">
        <f t="shared" si="0"/>
        <v>DOM</v>
      </c>
      <c r="Z7" s="6" t="str">
        <f t="shared" si="0"/>
        <v>SEG</v>
      </c>
      <c r="AA7" s="6" t="str">
        <f t="shared" si="0"/>
        <v>TER</v>
      </c>
      <c r="AB7" s="6" t="str">
        <f t="shared" si="0"/>
        <v>QUA</v>
      </c>
      <c r="AC7" s="6" t="str">
        <f t="shared" si="0"/>
        <v>QUI</v>
      </c>
      <c r="AD7" s="6" t="str">
        <f t="shared" si="0"/>
        <v>SEX</v>
      </c>
      <c r="AE7" s="6" t="str">
        <f t="shared" si="0"/>
        <v>SÁB</v>
      </c>
      <c r="AF7" s="6" t="str">
        <f t="shared" si="0"/>
        <v>DOM</v>
      </c>
    </row>
    <row r="8" spans="1:32" ht="15.75" thickBot="1" x14ac:dyDescent="0.3">
      <c r="A8" s="99"/>
      <c r="B8" s="56">
        <f>D21</f>
        <v>45597</v>
      </c>
      <c r="C8" s="57">
        <f>B8+1</f>
        <v>45598</v>
      </c>
      <c r="D8" s="57">
        <f t="shared" ref="D8:AF8" si="1">C8+1</f>
        <v>45599</v>
      </c>
      <c r="E8" s="57">
        <f t="shared" si="1"/>
        <v>45600</v>
      </c>
      <c r="F8" s="57">
        <f t="shared" si="1"/>
        <v>45601</v>
      </c>
      <c r="G8" s="57">
        <f t="shared" si="1"/>
        <v>45602</v>
      </c>
      <c r="H8" s="57">
        <f t="shared" si="1"/>
        <v>45603</v>
      </c>
      <c r="I8" s="57">
        <f t="shared" si="1"/>
        <v>45604</v>
      </c>
      <c r="J8" s="57">
        <f t="shared" si="1"/>
        <v>45605</v>
      </c>
      <c r="K8" s="57">
        <f t="shared" si="1"/>
        <v>45606</v>
      </c>
      <c r="L8" s="57">
        <f t="shared" si="1"/>
        <v>45607</v>
      </c>
      <c r="M8" s="57">
        <f t="shared" si="1"/>
        <v>45608</v>
      </c>
      <c r="N8" s="57">
        <f t="shared" si="1"/>
        <v>45609</v>
      </c>
      <c r="O8" s="57">
        <f t="shared" si="1"/>
        <v>45610</v>
      </c>
      <c r="P8" s="57">
        <f t="shared" si="1"/>
        <v>45611</v>
      </c>
      <c r="Q8" s="57">
        <f t="shared" si="1"/>
        <v>45612</v>
      </c>
      <c r="R8" s="57">
        <f t="shared" si="1"/>
        <v>45613</v>
      </c>
      <c r="S8" s="57">
        <f t="shared" si="1"/>
        <v>45614</v>
      </c>
      <c r="T8" s="57">
        <f t="shared" si="1"/>
        <v>45615</v>
      </c>
      <c r="U8" s="57">
        <f t="shared" si="1"/>
        <v>45616</v>
      </c>
      <c r="V8" s="57">
        <f t="shared" si="1"/>
        <v>45617</v>
      </c>
      <c r="W8" s="57">
        <f t="shared" si="1"/>
        <v>45618</v>
      </c>
      <c r="X8" s="57">
        <f t="shared" si="1"/>
        <v>45619</v>
      </c>
      <c r="Y8" s="57">
        <f t="shared" si="1"/>
        <v>45620</v>
      </c>
      <c r="Z8" s="57">
        <f t="shared" si="1"/>
        <v>45621</v>
      </c>
      <c r="AA8" s="57">
        <f t="shared" si="1"/>
        <v>45622</v>
      </c>
      <c r="AB8" s="57">
        <f t="shared" si="1"/>
        <v>45623</v>
      </c>
      <c r="AC8" s="57">
        <f t="shared" si="1"/>
        <v>45624</v>
      </c>
      <c r="AD8" s="57">
        <f t="shared" si="1"/>
        <v>45625</v>
      </c>
      <c r="AE8" s="57">
        <f t="shared" si="1"/>
        <v>45626</v>
      </c>
      <c r="AF8" s="58">
        <f t="shared" si="1"/>
        <v>45627</v>
      </c>
    </row>
    <row r="9" spans="1:32" x14ac:dyDescent="0.25">
      <c r="A9" s="19" t="s">
        <v>2</v>
      </c>
      <c r="B9" s="44" t="s">
        <v>3</v>
      </c>
      <c r="C9" s="45"/>
      <c r="D9" s="45"/>
      <c r="E9" s="45" t="s">
        <v>3</v>
      </c>
      <c r="F9" s="45" t="s">
        <v>3</v>
      </c>
      <c r="G9" s="45" t="s">
        <v>3</v>
      </c>
      <c r="H9" s="45" t="s">
        <v>3</v>
      </c>
      <c r="I9" s="45" t="s">
        <v>3</v>
      </c>
      <c r="J9" s="45"/>
      <c r="K9" s="45"/>
      <c r="L9" s="45" t="s">
        <v>3</v>
      </c>
      <c r="M9" s="45" t="s">
        <v>3</v>
      </c>
      <c r="N9" s="45" t="s">
        <v>3</v>
      </c>
      <c r="O9" s="45" t="s">
        <v>3</v>
      </c>
      <c r="P9" s="45" t="s">
        <v>3</v>
      </c>
      <c r="Q9" s="45"/>
      <c r="R9" s="45"/>
      <c r="S9" s="45" t="s">
        <v>3</v>
      </c>
      <c r="T9" s="45" t="s">
        <v>3</v>
      </c>
      <c r="U9" s="45" t="s">
        <v>3</v>
      </c>
      <c r="V9" s="45" t="s">
        <v>3</v>
      </c>
      <c r="W9" s="45" t="s">
        <v>3</v>
      </c>
      <c r="X9" s="45"/>
      <c r="Y9" s="45"/>
      <c r="Z9" s="45" t="s">
        <v>3</v>
      </c>
      <c r="AA9" s="45" t="s">
        <v>3</v>
      </c>
      <c r="AB9" s="45" t="s">
        <v>3</v>
      </c>
      <c r="AC9" s="45" t="s">
        <v>3</v>
      </c>
      <c r="AD9" s="45" t="s">
        <v>3</v>
      </c>
      <c r="AE9" s="45"/>
      <c r="AF9" s="55"/>
    </row>
    <row r="10" spans="1:32" x14ac:dyDescent="0.25">
      <c r="A10" s="20" t="s">
        <v>4</v>
      </c>
      <c r="B10" s="47"/>
      <c r="C10" s="48"/>
      <c r="D10" s="48"/>
      <c r="E10" s="48" t="s">
        <v>18</v>
      </c>
      <c r="F10" s="48" t="s">
        <v>18</v>
      </c>
      <c r="G10" s="48" t="s">
        <v>18</v>
      </c>
      <c r="H10" s="48" t="s">
        <v>18</v>
      </c>
      <c r="I10" s="48" t="s">
        <v>18</v>
      </c>
      <c r="J10" s="48" t="s">
        <v>18</v>
      </c>
      <c r="K10" s="48" t="s">
        <v>18</v>
      </c>
      <c r="L10" s="48" t="s">
        <v>18</v>
      </c>
      <c r="M10" s="48" t="s">
        <v>18</v>
      </c>
      <c r="N10" s="48" t="s">
        <v>18</v>
      </c>
      <c r="O10" s="48" t="s">
        <v>18</v>
      </c>
      <c r="P10" s="48" t="s">
        <v>18</v>
      </c>
      <c r="Q10" s="48" t="s">
        <v>18</v>
      </c>
      <c r="R10" s="48" t="s">
        <v>18</v>
      </c>
      <c r="S10" s="48" t="s">
        <v>18</v>
      </c>
      <c r="T10" s="48" t="s">
        <v>18</v>
      </c>
      <c r="U10" s="48" t="s">
        <v>18</v>
      </c>
      <c r="V10" s="48" t="s">
        <v>18</v>
      </c>
      <c r="W10" s="48" t="s">
        <v>18</v>
      </c>
      <c r="X10" s="48" t="s">
        <v>18</v>
      </c>
      <c r="Y10" s="48" t="s">
        <v>18</v>
      </c>
      <c r="Z10" s="48" t="s">
        <v>18</v>
      </c>
      <c r="AA10" s="48" t="s">
        <v>18</v>
      </c>
      <c r="AB10" s="48" t="s">
        <v>18</v>
      </c>
      <c r="AC10" s="48" t="s">
        <v>18</v>
      </c>
      <c r="AD10" s="48" t="s">
        <v>18</v>
      </c>
      <c r="AE10" s="48" t="s">
        <v>18</v>
      </c>
      <c r="AF10" s="46" t="s">
        <v>18</v>
      </c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>FE</v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>FE</v>
      </c>
      <c r="Q19" s="16"/>
      <c r="R19" s="16"/>
      <c r="S19" s="16"/>
      <c r="T19" s="16"/>
      <c r="U19" s="16" t="str">
        <f>IF(MONTH(D21)=11,"FE","")</f>
        <v>FE</v>
      </c>
      <c r="V19" s="16" t="str">
        <f>IF(MONTH(D21)=4,"FE","")</f>
        <v/>
      </c>
      <c r="W19" s="16"/>
      <c r="X19" s="16"/>
      <c r="Y19" s="16"/>
      <c r="Z19" s="16" t="str">
        <f>IF(MONTH(D21)=12,"FE","")</f>
        <v/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45597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45626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30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111" priority="56">
      <formula>INDIRECT(_xludf.CELL("address"))="$AL$10:$AL$19"</formula>
    </cfRule>
  </conditionalFormatting>
  <conditionalFormatting sqref="B19:AF19">
    <cfRule type="containsText" dxfId="110" priority="55" operator="containsText" text="FE">
      <formula>NOT(ISERROR(SEARCH("FE",B19)))</formula>
    </cfRule>
  </conditionalFormatting>
  <conditionalFormatting sqref="B9:AF18">
    <cfRule type="containsText" dxfId="109" priority="1" operator="containsText" text="E3">
      <formula>NOT(ISERROR(SEARCH("E3",B9)))</formula>
    </cfRule>
    <cfRule type="containsText" dxfId="108" priority="2" operator="containsText" text="E2">
      <formula>NOT(ISERROR(SEARCH("E2",B9)))</formula>
    </cfRule>
    <cfRule type="containsText" dxfId="107" priority="3" operator="containsText" text="E1">
      <formula>NOT(ISERROR(SEARCH("E1",B9)))</formula>
    </cfRule>
    <cfRule type="containsText" dxfId="106" priority="50" operator="containsText" text="DO">
      <formula>NOT(ISERROR(SEARCH("DO",B9)))</formula>
    </cfRule>
    <cfRule type="containsText" dxfId="105" priority="51" operator="containsText" text="VA">
      <formula>NOT(ISERROR(SEARCH("VA",B9)))</formula>
    </cfRule>
    <cfRule type="containsText" dxfId="104" priority="52" operator="containsText" text="T1">
      <formula>NOT(ISERROR(SEARCH("T1",B9)))</formula>
    </cfRule>
    <cfRule type="containsText" dxfId="103" priority="53" operator="containsText" text="T2">
      <formula>NOT(ISERROR(SEARCH("T2",B9)))</formula>
    </cfRule>
    <cfRule type="containsText" dxfId="102" priority="54" operator="containsText" text="T3">
      <formula>NOT(ISERROR(SEARCH("T3",B9)))</formula>
    </cfRule>
  </conditionalFormatting>
  <conditionalFormatting sqref="B8">
    <cfRule type="expression" dxfId="101" priority="49">
      <formula>$B$19="FE"</formula>
    </cfRule>
  </conditionalFormatting>
  <conditionalFormatting sqref="C8">
    <cfRule type="expression" dxfId="100" priority="48">
      <formula>$C$19="FE"</formula>
    </cfRule>
  </conditionalFormatting>
  <conditionalFormatting sqref="D8">
    <cfRule type="expression" dxfId="99" priority="47">
      <formula>$D$19="FE"</formula>
    </cfRule>
  </conditionalFormatting>
  <conditionalFormatting sqref="E8">
    <cfRule type="expression" dxfId="98" priority="46">
      <formula>$E$19="FE"</formula>
    </cfRule>
  </conditionalFormatting>
  <conditionalFormatting sqref="F8">
    <cfRule type="expression" dxfId="97" priority="45">
      <formula>$F$19="FE"</formula>
    </cfRule>
  </conditionalFormatting>
  <conditionalFormatting sqref="G8">
    <cfRule type="expression" dxfId="96" priority="44">
      <formula>$G$19="FE"</formula>
    </cfRule>
  </conditionalFormatting>
  <conditionalFormatting sqref="H8">
    <cfRule type="expression" dxfId="95" priority="43">
      <formula>$H$19="FE"</formula>
    </cfRule>
  </conditionalFormatting>
  <conditionalFormatting sqref="I8">
    <cfRule type="expression" dxfId="94" priority="42">
      <formula>$I$19="FE"</formula>
    </cfRule>
  </conditionalFormatting>
  <conditionalFormatting sqref="J8">
    <cfRule type="expression" dxfId="93" priority="41">
      <formula>$J$19="FE"</formula>
    </cfRule>
  </conditionalFormatting>
  <conditionalFormatting sqref="K8">
    <cfRule type="expression" dxfId="92" priority="40">
      <formula>$K$19="FE"</formula>
    </cfRule>
  </conditionalFormatting>
  <conditionalFormatting sqref="L8">
    <cfRule type="expression" dxfId="91" priority="39">
      <formula>$L$19="FE"</formula>
    </cfRule>
  </conditionalFormatting>
  <conditionalFormatting sqref="M8">
    <cfRule type="expression" dxfId="90" priority="38">
      <formula>$M$19="FE"</formula>
    </cfRule>
  </conditionalFormatting>
  <conditionalFormatting sqref="N8">
    <cfRule type="expression" dxfId="89" priority="37">
      <formula>$N$19="FE"</formula>
    </cfRule>
  </conditionalFormatting>
  <conditionalFormatting sqref="O8">
    <cfRule type="expression" dxfId="88" priority="36">
      <formula>$O$19="FE"</formula>
    </cfRule>
  </conditionalFormatting>
  <conditionalFormatting sqref="P8">
    <cfRule type="expression" dxfId="87" priority="35">
      <formula>$P$19="FE"</formula>
    </cfRule>
  </conditionalFormatting>
  <conditionalFormatting sqref="Q8">
    <cfRule type="expression" dxfId="86" priority="34">
      <formula>$Q$19="FE"</formula>
    </cfRule>
  </conditionalFormatting>
  <conditionalFormatting sqref="R8">
    <cfRule type="expression" dxfId="85" priority="33">
      <formula>$R$19="FE"</formula>
    </cfRule>
  </conditionalFormatting>
  <conditionalFormatting sqref="S8">
    <cfRule type="expression" dxfId="84" priority="32">
      <formula>$S$19="FE"</formula>
    </cfRule>
  </conditionalFormatting>
  <conditionalFormatting sqref="T8">
    <cfRule type="expression" dxfId="83" priority="31">
      <formula>$T$19="FE"</formula>
    </cfRule>
  </conditionalFormatting>
  <conditionalFormatting sqref="U8">
    <cfRule type="expression" dxfId="82" priority="30">
      <formula>$U$19="FE"</formula>
    </cfRule>
  </conditionalFormatting>
  <conditionalFormatting sqref="V8">
    <cfRule type="expression" dxfId="81" priority="29">
      <formula>$V$19="FE"</formula>
    </cfRule>
  </conditionalFormatting>
  <conditionalFormatting sqref="W8">
    <cfRule type="expression" dxfId="80" priority="28">
      <formula>$W$19="FE"</formula>
    </cfRule>
  </conditionalFormatting>
  <conditionalFormatting sqref="X8">
    <cfRule type="expression" dxfId="79" priority="27">
      <formula>$X$19="FE"</formula>
    </cfRule>
  </conditionalFormatting>
  <conditionalFormatting sqref="Y8">
    <cfRule type="expression" dxfId="78" priority="26">
      <formula>$Y$19="FE"</formula>
    </cfRule>
  </conditionalFormatting>
  <conditionalFormatting sqref="Z8">
    <cfRule type="expression" dxfId="77" priority="25">
      <formula>$Z$19="FE"</formula>
    </cfRule>
  </conditionalFormatting>
  <conditionalFormatting sqref="AA8">
    <cfRule type="expression" dxfId="76" priority="24">
      <formula>$AA$19="FE"</formula>
    </cfRule>
  </conditionalFormatting>
  <conditionalFormatting sqref="AB8">
    <cfRule type="expression" dxfId="75" priority="23">
      <formula>$AB$19="FE"</formula>
    </cfRule>
  </conditionalFormatting>
  <conditionalFormatting sqref="AC8">
    <cfRule type="expression" dxfId="74" priority="22">
      <formula>$AC$19="FE"</formula>
    </cfRule>
  </conditionalFormatting>
  <conditionalFormatting sqref="AD8">
    <cfRule type="expression" dxfId="73" priority="21">
      <formula>$AD$19="FE"</formula>
    </cfRule>
  </conditionalFormatting>
  <conditionalFormatting sqref="AE8">
    <cfRule type="expression" dxfId="72" priority="20">
      <formula>$AE$19="FE"</formula>
    </cfRule>
  </conditionalFormatting>
  <conditionalFormatting sqref="AF8">
    <cfRule type="expression" dxfId="71" priority="19">
      <formula>$AF$19="FE"</formula>
    </cfRule>
  </conditionalFormatting>
  <conditionalFormatting sqref="B7:AF7">
    <cfRule type="containsText" dxfId="70" priority="17" operator="containsText" text="DOM">
      <formula>NOT(ISERROR(SEARCH("DOM",B7)))</formula>
    </cfRule>
    <cfRule type="containsText" dxfId="69" priority="18" operator="containsText" text="SÁB">
      <formula>NOT(ISERROR(SEARCH("SÁB",B7)))</formula>
    </cfRule>
  </conditionalFormatting>
  <conditionalFormatting sqref="J23">
    <cfRule type="containsText" dxfId="68" priority="16" operator="containsText" text="FE">
      <formula>NOT(ISERROR(SEARCH("FE",J23)))</formula>
    </cfRule>
  </conditionalFormatting>
  <conditionalFormatting sqref="N21">
    <cfRule type="containsText" dxfId="67" priority="13" operator="containsText" text="T3">
      <formula>NOT(ISERROR(SEARCH("T3",N21)))</formula>
    </cfRule>
    <cfRule type="containsText" dxfId="66" priority="14" operator="containsText" text="T2">
      <formula>NOT(ISERROR(SEARCH("T2",N21)))</formula>
    </cfRule>
    <cfRule type="containsText" dxfId="65" priority="15" operator="containsText" text="T1">
      <formula>NOT(ISERROR(SEARCH("T1",N21)))</formula>
    </cfRule>
  </conditionalFormatting>
  <conditionalFormatting sqref="N24">
    <cfRule type="containsText" dxfId="64" priority="10" operator="containsText" text="T3">
      <formula>NOT(ISERROR(SEARCH("T3",N24)))</formula>
    </cfRule>
    <cfRule type="containsText" dxfId="63" priority="11" operator="containsText" text="T2">
      <formula>NOT(ISERROR(SEARCH("T2",N24)))</formula>
    </cfRule>
    <cfRule type="containsText" dxfId="62" priority="12" operator="containsText" text="T1">
      <formula>NOT(ISERROR(SEARCH("T1",N24)))</formula>
    </cfRule>
  </conditionalFormatting>
  <conditionalFormatting sqref="N25">
    <cfRule type="containsText" dxfId="61" priority="7" operator="containsText" text="T3">
      <formula>NOT(ISERROR(SEARCH("T3",N25)))</formula>
    </cfRule>
    <cfRule type="containsText" dxfId="60" priority="8" operator="containsText" text="T2">
      <formula>NOT(ISERROR(SEARCH("T2",N25)))</formula>
    </cfRule>
    <cfRule type="containsText" dxfId="59" priority="9" operator="containsText" text="T1">
      <formula>NOT(ISERROR(SEARCH("T1",N25)))</formula>
    </cfRule>
  </conditionalFormatting>
  <conditionalFormatting sqref="AA22">
    <cfRule type="containsText" dxfId="58" priority="6" operator="containsText" text="E1">
      <formula>NOT(ISERROR(SEARCH("E1",AA22)))</formula>
    </cfRule>
  </conditionalFormatting>
  <conditionalFormatting sqref="AA23">
    <cfRule type="containsText" dxfId="57" priority="5" operator="containsText" text="E2">
      <formula>NOT(ISERROR(SEARCH("E2",AA23)))</formula>
    </cfRule>
  </conditionalFormatting>
  <conditionalFormatting sqref="AA24">
    <cfRule type="containsText" dxfId="56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0A3E2822-39E1-4277-A402-E3ADD3DBA6D0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F24A4-BE3F-45BD-8C46-00638C1FAEEF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960F767F-42D0-422A-89DD-E21963B0821B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F98C22FF-FAC6-4743-A605-6DAFC1B9E8D7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EE8D560D-FA3A-49D0-B1D0-162383FC22BE}">
          <x14:formula1>
            <xm:f>Configuração!$L$7:$L$22</xm:f>
          </x14:formula1>
          <xm:sqref>A9:A18 T21:T25 W21:W25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4A456-D0B7-45E7-8B9A-D26CE1B5BFC8}">
  <dimension ref="A1:AF39"/>
  <sheetViews>
    <sheetView zoomScale="80" zoomScaleNormal="80" workbookViewId="0">
      <selection activeCell="AJ24" sqref="AJ24"/>
    </sheetView>
  </sheetViews>
  <sheetFormatPr defaultRowHeight="15" x14ac:dyDescent="0.25"/>
  <cols>
    <col min="1" max="1" width="12.5703125" bestFit="1" customWidth="1"/>
    <col min="2" max="32" width="6.7109375" customWidth="1"/>
  </cols>
  <sheetData>
    <row r="1" spans="1:32" ht="31.5" x14ac:dyDescent="0.25">
      <c r="A1" s="9"/>
      <c r="B1" s="9"/>
      <c r="C1" s="9"/>
      <c r="D1" s="9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</row>
    <row r="2" spans="1:32" ht="78.75" customHeight="1" x14ac:dyDescent="0.25">
      <c r="A2" s="4"/>
      <c r="B2" s="4"/>
      <c r="C2" s="4"/>
      <c r="D2" s="4"/>
      <c r="E2" s="12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5.75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24.75" thickBot="1" x14ac:dyDescent="0.3">
      <c r="A6" s="95" t="s">
        <v>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ht="15.75" thickBot="1" x14ac:dyDescent="0.3">
      <c r="A7" s="98" t="s">
        <v>1</v>
      </c>
      <c r="B7" s="6" t="str">
        <f>UPPER(TEXT(B8,"[$]ddd"))</f>
        <v>DOM</v>
      </c>
      <c r="C7" s="6" t="str">
        <f t="shared" ref="C7:AF7" si="0">UPPER(TEXT(C8,"[$]ddd"))</f>
        <v>SEG</v>
      </c>
      <c r="D7" s="6" t="str">
        <f t="shared" si="0"/>
        <v>TER</v>
      </c>
      <c r="E7" s="6" t="str">
        <f t="shared" si="0"/>
        <v>QUA</v>
      </c>
      <c r="F7" s="6" t="str">
        <f t="shared" si="0"/>
        <v>QUI</v>
      </c>
      <c r="G7" s="6" t="str">
        <f t="shared" si="0"/>
        <v>SEX</v>
      </c>
      <c r="H7" s="6" t="str">
        <f t="shared" si="0"/>
        <v>SÁB</v>
      </c>
      <c r="I7" s="6" t="str">
        <f t="shared" si="0"/>
        <v>DOM</v>
      </c>
      <c r="J7" s="6" t="str">
        <f t="shared" si="0"/>
        <v>SEG</v>
      </c>
      <c r="K7" s="6" t="str">
        <f t="shared" si="0"/>
        <v>TER</v>
      </c>
      <c r="L7" s="6" t="str">
        <f t="shared" si="0"/>
        <v>QUA</v>
      </c>
      <c r="M7" s="6" t="str">
        <f t="shared" si="0"/>
        <v>QUI</v>
      </c>
      <c r="N7" s="6" t="str">
        <f t="shared" si="0"/>
        <v>SEX</v>
      </c>
      <c r="O7" s="6" t="str">
        <f t="shared" si="0"/>
        <v>SÁB</v>
      </c>
      <c r="P7" s="6" t="str">
        <f t="shared" si="0"/>
        <v>DOM</v>
      </c>
      <c r="Q7" s="6" t="str">
        <f t="shared" si="0"/>
        <v>SEG</v>
      </c>
      <c r="R7" s="6" t="str">
        <f t="shared" si="0"/>
        <v>TER</v>
      </c>
      <c r="S7" s="6" t="str">
        <f t="shared" si="0"/>
        <v>QUA</v>
      </c>
      <c r="T7" s="6" t="str">
        <f t="shared" si="0"/>
        <v>QUI</v>
      </c>
      <c r="U7" s="6" t="str">
        <f t="shared" si="0"/>
        <v>SEX</v>
      </c>
      <c r="V7" s="6" t="str">
        <f t="shared" si="0"/>
        <v>SÁB</v>
      </c>
      <c r="W7" s="6" t="str">
        <f t="shared" si="0"/>
        <v>DOM</v>
      </c>
      <c r="X7" s="6" t="str">
        <f t="shared" si="0"/>
        <v>SEG</v>
      </c>
      <c r="Y7" s="6" t="str">
        <f t="shared" si="0"/>
        <v>TER</v>
      </c>
      <c r="Z7" s="6" t="str">
        <f t="shared" si="0"/>
        <v>QUA</v>
      </c>
      <c r="AA7" s="6" t="str">
        <f t="shared" si="0"/>
        <v>QUI</v>
      </c>
      <c r="AB7" s="6" t="str">
        <f t="shared" si="0"/>
        <v>SEX</v>
      </c>
      <c r="AC7" s="6" t="str">
        <f t="shared" si="0"/>
        <v>SÁB</v>
      </c>
      <c r="AD7" s="6" t="str">
        <f t="shared" si="0"/>
        <v>DOM</v>
      </c>
      <c r="AE7" s="6" t="str">
        <f t="shared" si="0"/>
        <v>SEG</v>
      </c>
      <c r="AF7" s="6" t="str">
        <f t="shared" si="0"/>
        <v>TER</v>
      </c>
    </row>
    <row r="8" spans="1:32" ht="15.75" thickBot="1" x14ac:dyDescent="0.3">
      <c r="A8" s="99"/>
      <c r="B8" s="56">
        <f>D21</f>
        <v>45627</v>
      </c>
      <c r="C8" s="57">
        <f>B8+1</f>
        <v>45628</v>
      </c>
      <c r="D8" s="57">
        <f t="shared" ref="D8:AF8" si="1">C8+1</f>
        <v>45629</v>
      </c>
      <c r="E8" s="57">
        <f t="shared" si="1"/>
        <v>45630</v>
      </c>
      <c r="F8" s="57">
        <f t="shared" si="1"/>
        <v>45631</v>
      </c>
      <c r="G8" s="57">
        <f t="shared" si="1"/>
        <v>45632</v>
      </c>
      <c r="H8" s="57">
        <f t="shared" si="1"/>
        <v>45633</v>
      </c>
      <c r="I8" s="57">
        <f t="shared" si="1"/>
        <v>45634</v>
      </c>
      <c r="J8" s="57">
        <f t="shared" si="1"/>
        <v>45635</v>
      </c>
      <c r="K8" s="57">
        <f t="shared" si="1"/>
        <v>45636</v>
      </c>
      <c r="L8" s="57">
        <f t="shared" si="1"/>
        <v>45637</v>
      </c>
      <c r="M8" s="57">
        <f t="shared" si="1"/>
        <v>45638</v>
      </c>
      <c r="N8" s="57">
        <f t="shared" si="1"/>
        <v>45639</v>
      </c>
      <c r="O8" s="57">
        <f t="shared" si="1"/>
        <v>45640</v>
      </c>
      <c r="P8" s="57">
        <f t="shared" si="1"/>
        <v>45641</v>
      </c>
      <c r="Q8" s="57">
        <f t="shared" si="1"/>
        <v>45642</v>
      </c>
      <c r="R8" s="57">
        <f t="shared" si="1"/>
        <v>45643</v>
      </c>
      <c r="S8" s="57">
        <f t="shared" si="1"/>
        <v>45644</v>
      </c>
      <c r="T8" s="57">
        <f t="shared" si="1"/>
        <v>45645</v>
      </c>
      <c r="U8" s="57">
        <f t="shared" si="1"/>
        <v>45646</v>
      </c>
      <c r="V8" s="57">
        <f t="shared" si="1"/>
        <v>45647</v>
      </c>
      <c r="W8" s="57">
        <f t="shared" si="1"/>
        <v>45648</v>
      </c>
      <c r="X8" s="57">
        <f t="shared" si="1"/>
        <v>45649</v>
      </c>
      <c r="Y8" s="57">
        <f t="shared" si="1"/>
        <v>45650</v>
      </c>
      <c r="Z8" s="57">
        <f t="shared" si="1"/>
        <v>45651</v>
      </c>
      <c r="AA8" s="57">
        <f t="shared" si="1"/>
        <v>45652</v>
      </c>
      <c r="AB8" s="57">
        <f t="shared" si="1"/>
        <v>45653</v>
      </c>
      <c r="AC8" s="57">
        <f t="shared" si="1"/>
        <v>45654</v>
      </c>
      <c r="AD8" s="57">
        <f t="shared" si="1"/>
        <v>45655</v>
      </c>
      <c r="AE8" s="57">
        <f t="shared" si="1"/>
        <v>45656</v>
      </c>
      <c r="AF8" s="58">
        <f t="shared" si="1"/>
        <v>45657</v>
      </c>
    </row>
    <row r="9" spans="1:32" x14ac:dyDescent="0.25">
      <c r="A9" s="19" t="s">
        <v>2</v>
      </c>
      <c r="B9" s="44"/>
      <c r="C9" s="45" t="s">
        <v>3</v>
      </c>
      <c r="D9" s="45" t="s">
        <v>3</v>
      </c>
      <c r="E9" s="45" t="s">
        <v>3</v>
      </c>
      <c r="F9" s="45" t="s">
        <v>3</v>
      </c>
      <c r="G9" s="45" t="s">
        <v>3</v>
      </c>
      <c r="H9" s="45"/>
      <c r="I9" s="45"/>
      <c r="J9" s="45" t="s">
        <v>3</v>
      </c>
      <c r="K9" s="45" t="s">
        <v>3</v>
      </c>
      <c r="L9" s="45" t="s">
        <v>3</v>
      </c>
      <c r="M9" s="45" t="s">
        <v>3</v>
      </c>
      <c r="N9" s="45" t="s">
        <v>3</v>
      </c>
      <c r="O9" s="45"/>
      <c r="P9" s="45"/>
      <c r="Q9" s="45" t="s">
        <v>3</v>
      </c>
      <c r="R9" s="45" t="s">
        <v>3</v>
      </c>
      <c r="S9" s="45" t="s">
        <v>3</v>
      </c>
      <c r="T9" s="45" t="s">
        <v>3</v>
      </c>
      <c r="U9" s="45" t="s">
        <v>3</v>
      </c>
      <c r="V9" s="45"/>
      <c r="W9" s="45"/>
      <c r="X9" s="45" t="s">
        <v>3</v>
      </c>
      <c r="Y9" s="45" t="s">
        <v>3</v>
      </c>
      <c r="Z9" s="45" t="s">
        <v>3</v>
      </c>
      <c r="AA9" s="45" t="s">
        <v>3</v>
      </c>
      <c r="AB9" s="45" t="s">
        <v>3</v>
      </c>
      <c r="AC9" s="45"/>
      <c r="AD9" s="45"/>
      <c r="AE9" s="45" t="s">
        <v>3</v>
      </c>
      <c r="AF9" s="55" t="s">
        <v>3</v>
      </c>
    </row>
    <row r="10" spans="1:32" x14ac:dyDescent="0.25">
      <c r="A10" s="20" t="s">
        <v>4</v>
      </c>
      <c r="B10" s="47" t="s">
        <v>18</v>
      </c>
      <c r="C10" s="48" t="s">
        <v>18</v>
      </c>
      <c r="D10" s="48" t="s">
        <v>18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6"/>
    </row>
    <row r="11" spans="1:32" x14ac:dyDescent="0.25">
      <c r="A11" s="20" t="s">
        <v>5</v>
      </c>
      <c r="B11" s="47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6"/>
    </row>
    <row r="12" spans="1:32" x14ac:dyDescent="0.25">
      <c r="A12" s="20" t="s">
        <v>6</v>
      </c>
      <c r="B12" s="47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6"/>
    </row>
    <row r="13" spans="1:32" x14ac:dyDescent="0.25">
      <c r="A13" s="20" t="s">
        <v>7</v>
      </c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6"/>
    </row>
    <row r="14" spans="1:32" x14ac:dyDescent="0.25">
      <c r="A14" s="20" t="s">
        <v>8</v>
      </c>
      <c r="B14" s="4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6"/>
    </row>
    <row r="15" spans="1:32" x14ac:dyDescent="0.25">
      <c r="A15" s="20" t="s">
        <v>9</v>
      </c>
      <c r="B15" s="47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6"/>
    </row>
    <row r="16" spans="1:32" x14ac:dyDescent="0.25">
      <c r="A16" s="20" t="s">
        <v>11</v>
      </c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6"/>
    </row>
    <row r="17" spans="1:32" x14ac:dyDescent="0.25">
      <c r="A17" s="20" t="s">
        <v>12</v>
      </c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6"/>
    </row>
    <row r="18" spans="1:32" ht="15.75" thickBot="1" x14ac:dyDescent="0.3">
      <c r="A18" s="21" t="s">
        <v>14</v>
      </c>
      <c r="B18" s="49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50"/>
    </row>
    <row r="19" spans="1:32" ht="15.75" hidden="1" thickBot="1" x14ac:dyDescent="0.3">
      <c r="A19" s="13" t="s">
        <v>15</v>
      </c>
      <c r="B19" s="15" t="str">
        <f>IF(MONTH(D21)=5,"FE","")</f>
        <v/>
      </c>
      <c r="C19" s="16" t="str">
        <f>IF(MONTH(D21)=11,"FE","")</f>
        <v/>
      </c>
      <c r="D19" s="16"/>
      <c r="E19" s="16"/>
      <c r="F19" s="16"/>
      <c r="G19" s="16"/>
      <c r="H19" s="16" t="str">
        <f>IF(MONTH(D21)=9,"FE","")</f>
        <v/>
      </c>
      <c r="I19" s="16"/>
      <c r="J19" s="16"/>
      <c r="K19" s="16"/>
      <c r="L19" s="16"/>
      <c r="M19" s="16" t="str">
        <f>IF(MONTH(D21)=10,"FE","")</f>
        <v/>
      </c>
      <c r="N19" s="16"/>
      <c r="O19" s="16"/>
      <c r="P19" s="16" t="str">
        <f>IF(MONTH(D21)=11,"FE","")</f>
        <v/>
      </c>
      <c r="Q19" s="16"/>
      <c r="R19" s="16"/>
      <c r="S19" s="16"/>
      <c r="T19" s="16"/>
      <c r="U19" s="16" t="str">
        <f>IF(MONTH(D21)=11,"FE","")</f>
        <v/>
      </c>
      <c r="V19" s="16" t="str">
        <f>IF(MONTH(D21)=4,"FE","")</f>
        <v/>
      </c>
      <c r="W19" s="16"/>
      <c r="X19" s="16"/>
      <c r="Y19" s="16"/>
      <c r="Z19" s="16" t="str">
        <f>IF(MONTH(D21)=12,"FE","")</f>
        <v>FE</v>
      </c>
      <c r="AA19" s="16"/>
      <c r="AB19" s="16"/>
      <c r="AC19" s="16"/>
      <c r="AD19" s="16"/>
      <c r="AE19" s="16"/>
      <c r="AF19" s="17"/>
    </row>
    <row r="20" spans="1:32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thickBot="1" x14ac:dyDescent="0.3">
      <c r="A21" s="1"/>
      <c r="B21" s="93" t="s">
        <v>16</v>
      </c>
      <c r="C21" s="100"/>
      <c r="D21" s="101">
        <v>45627</v>
      </c>
      <c r="E21" s="102"/>
      <c r="F21" s="102"/>
      <c r="G21" s="103"/>
      <c r="H21" s="93" t="s">
        <v>17</v>
      </c>
      <c r="I21" s="94"/>
      <c r="J21" s="114" t="s">
        <v>18</v>
      </c>
      <c r="K21" s="115"/>
      <c r="L21" s="1"/>
      <c r="M21" s="1"/>
      <c r="N21" s="120" t="s">
        <v>3</v>
      </c>
      <c r="O21" s="123" t="s">
        <v>19</v>
      </c>
      <c r="P21" s="124"/>
      <c r="Q21" s="129" t="s">
        <v>20</v>
      </c>
      <c r="R21" s="130"/>
      <c r="S21" s="131"/>
      <c r="T21" s="129" t="s">
        <v>2</v>
      </c>
      <c r="U21" s="130"/>
      <c r="V21" s="131"/>
      <c r="W21" s="129" t="s">
        <v>4</v>
      </c>
      <c r="X21" s="130"/>
      <c r="Y21" s="131"/>
      <c r="Z21" s="1"/>
      <c r="AA21" s="88" t="s">
        <v>21</v>
      </c>
      <c r="AB21" s="89"/>
      <c r="AC21" s="89"/>
      <c r="AD21" s="89"/>
      <c r="AE21" s="90"/>
      <c r="AF21" s="1"/>
    </row>
    <row r="22" spans="1:32" ht="15.75" thickBot="1" x14ac:dyDescent="0.3">
      <c r="A22" s="1"/>
      <c r="B22" s="104" t="s">
        <v>22</v>
      </c>
      <c r="C22" s="105"/>
      <c r="D22" s="106">
        <f>EOMONTH(D21,0)</f>
        <v>45657</v>
      </c>
      <c r="E22" s="107"/>
      <c r="F22" s="107"/>
      <c r="G22" s="108"/>
      <c r="H22" s="93" t="s">
        <v>23</v>
      </c>
      <c r="I22" s="94"/>
      <c r="J22" s="116" t="s">
        <v>24</v>
      </c>
      <c r="K22" s="117"/>
      <c r="L22" s="1"/>
      <c r="M22" s="1"/>
      <c r="N22" s="121"/>
      <c r="O22" s="125"/>
      <c r="P22" s="126"/>
      <c r="Q22" s="132" t="s">
        <v>25</v>
      </c>
      <c r="R22" s="133"/>
      <c r="S22" s="134"/>
      <c r="T22" s="132" t="s">
        <v>5</v>
      </c>
      <c r="U22" s="133"/>
      <c r="V22" s="134"/>
      <c r="W22" s="132" t="s">
        <v>6</v>
      </c>
      <c r="X22" s="133"/>
      <c r="Y22" s="134"/>
      <c r="Z22" s="1"/>
      <c r="AA22" s="83" t="s">
        <v>26</v>
      </c>
      <c r="AB22" s="88" t="s">
        <v>27</v>
      </c>
      <c r="AC22" s="90"/>
      <c r="AD22" s="91" t="s">
        <v>20</v>
      </c>
      <c r="AE22" s="92"/>
      <c r="AF22" s="1"/>
    </row>
    <row r="23" spans="1:32" ht="15.75" thickBot="1" x14ac:dyDescent="0.3">
      <c r="A23" s="1"/>
      <c r="B23" s="109" t="s">
        <v>28</v>
      </c>
      <c r="C23" s="110"/>
      <c r="D23" s="111">
        <f>DAY(D22)</f>
        <v>31</v>
      </c>
      <c r="E23" s="112"/>
      <c r="F23" s="112"/>
      <c r="G23" s="113"/>
      <c r="H23" s="93" t="s">
        <v>29</v>
      </c>
      <c r="I23" s="94"/>
      <c r="J23" s="118" t="s">
        <v>30</v>
      </c>
      <c r="K23" s="119"/>
      <c r="L23" s="1"/>
      <c r="M23" s="1"/>
      <c r="N23" s="122"/>
      <c r="O23" s="127"/>
      <c r="P23" s="128"/>
      <c r="Q23" s="132" t="s">
        <v>31</v>
      </c>
      <c r="R23" s="133"/>
      <c r="S23" s="134"/>
      <c r="T23" s="132" t="s">
        <v>7</v>
      </c>
      <c r="U23" s="133"/>
      <c r="V23" s="134"/>
      <c r="W23" s="132" t="s">
        <v>8</v>
      </c>
      <c r="X23" s="133"/>
      <c r="Y23" s="134"/>
      <c r="Z23" s="1"/>
      <c r="AA23" s="84" t="s">
        <v>32</v>
      </c>
      <c r="AB23" s="88" t="s">
        <v>33</v>
      </c>
      <c r="AC23" s="90"/>
      <c r="AD23" s="91" t="s">
        <v>34</v>
      </c>
      <c r="AE23" s="92"/>
      <c r="AF23" s="1"/>
    </row>
    <row r="24" spans="1:3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54" t="s">
        <v>10</v>
      </c>
      <c r="O24" s="88" t="s">
        <v>33</v>
      </c>
      <c r="P24" s="90"/>
      <c r="Q24" s="91" t="s">
        <v>34</v>
      </c>
      <c r="R24" s="135"/>
      <c r="S24" s="92"/>
      <c r="T24" s="91" t="s">
        <v>9</v>
      </c>
      <c r="U24" s="135"/>
      <c r="V24" s="92"/>
      <c r="W24" s="91" t="s">
        <v>11</v>
      </c>
      <c r="X24" s="135"/>
      <c r="Y24" s="92"/>
      <c r="Z24" s="1"/>
      <c r="AA24" s="85" t="s">
        <v>35</v>
      </c>
      <c r="AB24" s="88" t="s">
        <v>36</v>
      </c>
      <c r="AC24" s="90"/>
      <c r="AD24" s="91" t="s">
        <v>37</v>
      </c>
      <c r="AE24" s="92"/>
      <c r="AF24" s="1"/>
    </row>
    <row r="25" spans="1:32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 t="s">
        <v>13</v>
      </c>
      <c r="O25" s="88" t="s">
        <v>38</v>
      </c>
      <c r="P25" s="90"/>
      <c r="Q25" s="91" t="s">
        <v>37</v>
      </c>
      <c r="R25" s="135"/>
      <c r="S25" s="92"/>
      <c r="T25" s="91" t="s">
        <v>12</v>
      </c>
      <c r="U25" s="135"/>
      <c r="V25" s="92"/>
      <c r="W25" s="91" t="s">
        <v>14</v>
      </c>
      <c r="X25" s="135"/>
      <c r="Y25" s="92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</sheetData>
  <mergeCells count="40">
    <mergeCell ref="O25:P25"/>
    <mergeCell ref="Q25:S25"/>
    <mergeCell ref="T25:V25"/>
    <mergeCell ref="W25:Y25"/>
    <mergeCell ref="O24:P24"/>
    <mergeCell ref="Q24:S24"/>
    <mergeCell ref="T24:V24"/>
    <mergeCell ref="W24:Y24"/>
    <mergeCell ref="AB24:AC24"/>
    <mergeCell ref="AD24:AE24"/>
    <mergeCell ref="AD22:AE22"/>
    <mergeCell ref="B23:C23"/>
    <mergeCell ref="D23:G23"/>
    <mergeCell ref="H23:I23"/>
    <mergeCell ref="J23:K23"/>
    <mergeCell ref="Q23:S23"/>
    <mergeCell ref="T23:V23"/>
    <mergeCell ref="W23:Y23"/>
    <mergeCell ref="AB23:AC23"/>
    <mergeCell ref="AD23:AE23"/>
    <mergeCell ref="W21:Y21"/>
    <mergeCell ref="AA21:AE21"/>
    <mergeCell ref="B22:C22"/>
    <mergeCell ref="D22:G22"/>
    <mergeCell ref="H22:I22"/>
    <mergeCell ref="J22:K22"/>
    <mergeCell ref="Q22:S22"/>
    <mergeCell ref="T22:V22"/>
    <mergeCell ref="W22:Y22"/>
    <mergeCell ref="AB22:AC22"/>
    <mergeCell ref="A6:AF6"/>
    <mergeCell ref="A7:A8"/>
    <mergeCell ref="B21:C21"/>
    <mergeCell ref="D21:G21"/>
    <mergeCell ref="H21:I21"/>
    <mergeCell ref="J21:K21"/>
    <mergeCell ref="N21:N23"/>
    <mergeCell ref="O21:P23"/>
    <mergeCell ref="Q21:S21"/>
    <mergeCell ref="T21:V21"/>
  </mergeCells>
  <conditionalFormatting sqref="AG15:AG19">
    <cfRule type="expression" dxfId="55" priority="56">
      <formula>INDIRECT(_xludf.CELL("address"))="$AL$10:$AL$19"</formula>
    </cfRule>
  </conditionalFormatting>
  <conditionalFormatting sqref="B19:AF19">
    <cfRule type="containsText" dxfId="54" priority="55" operator="containsText" text="FE">
      <formula>NOT(ISERROR(SEARCH("FE",B19)))</formula>
    </cfRule>
  </conditionalFormatting>
  <conditionalFormatting sqref="B9:AF18">
    <cfRule type="containsText" dxfId="53" priority="1" operator="containsText" text="E3">
      <formula>NOT(ISERROR(SEARCH("E3",B9)))</formula>
    </cfRule>
    <cfRule type="containsText" dxfId="52" priority="2" operator="containsText" text="E2">
      <formula>NOT(ISERROR(SEARCH("E2",B9)))</formula>
    </cfRule>
    <cfRule type="containsText" dxfId="51" priority="3" operator="containsText" text="E1">
      <formula>NOT(ISERROR(SEARCH("E1",B9)))</formula>
    </cfRule>
    <cfRule type="containsText" dxfId="50" priority="50" operator="containsText" text="DO">
      <formula>NOT(ISERROR(SEARCH("DO",B9)))</formula>
    </cfRule>
    <cfRule type="containsText" dxfId="49" priority="51" operator="containsText" text="VA">
      <formula>NOT(ISERROR(SEARCH("VA",B9)))</formula>
    </cfRule>
    <cfRule type="containsText" dxfId="48" priority="52" operator="containsText" text="T1">
      <formula>NOT(ISERROR(SEARCH("T1",B9)))</formula>
    </cfRule>
    <cfRule type="containsText" dxfId="47" priority="53" operator="containsText" text="T2">
      <formula>NOT(ISERROR(SEARCH("T2",B9)))</formula>
    </cfRule>
    <cfRule type="containsText" dxfId="46" priority="54" operator="containsText" text="T3">
      <formula>NOT(ISERROR(SEARCH("T3",B9)))</formula>
    </cfRule>
  </conditionalFormatting>
  <conditionalFormatting sqref="B8">
    <cfRule type="expression" dxfId="45" priority="49">
      <formula>$B$19="FE"</formula>
    </cfRule>
  </conditionalFormatting>
  <conditionalFormatting sqref="C8">
    <cfRule type="expression" dxfId="44" priority="48">
      <formula>$C$19="FE"</formula>
    </cfRule>
  </conditionalFormatting>
  <conditionalFormatting sqref="D8">
    <cfRule type="expression" dxfId="43" priority="47">
      <formula>$D$19="FE"</formula>
    </cfRule>
  </conditionalFormatting>
  <conditionalFormatting sqref="E8">
    <cfRule type="expression" dxfId="42" priority="46">
      <formula>$E$19="FE"</formula>
    </cfRule>
  </conditionalFormatting>
  <conditionalFormatting sqref="F8">
    <cfRule type="expression" dxfId="41" priority="45">
      <formula>$F$19="FE"</formula>
    </cfRule>
  </conditionalFormatting>
  <conditionalFormatting sqref="G8">
    <cfRule type="expression" dxfId="40" priority="44">
      <formula>$G$19="FE"</formula>
    </cfRule>
  </conditionalFormatting>
  <conditionalFormatting sqref="H8">
    <cfRule type="expression" dxfId="39" priority="43">
      <formula>$H$19="FE"</formula>
    </cfRule>
  </conditionalFormatting>
  <conditionalFormatting sqref="I8">
    <cfRule type="expression" dxfId="38" priority="42">
      <formula>$I$19="FE"</formula>
    </cfRule>
  </conditionalFormatting>
  <conditionalFormatting sqref="J8">
    <cfRule type="expression" dxfId="37" priority="41">
      <formula>$J$19="FE"</formula>
    </cfRule>
  </conditionalFormatting>
  <conditionalFormatting sqref="K8">
    <cfRule type="expression" dxfId="36" priority="40">
      <formula>$K$19="FE"</formula>
    </cfRule>
  </conditionalFormatting>
  <conditionalFormatting sqref="L8">
    <cfRule type="expression" dxfId="35" priority="39">
      <formula>$L$19="FE"</formula>
    </cfRule>
  </conditionalFormatting>
  <conditionalFormatting sqref="M8">
    <cfRule type="expression" dxfId="34" priority="38">
      <formula>$M$19="FE"</formula>
    </cfRule>
  </conditionalFormatting>
  <conditionalFormatting sqref="N8">
    <cfRule type="expression" dxfId="33" priority="37">
      <formula>$N$19="FE"</formula>
    </cfRule>
  </conditionalFormatting>
  <conditionalFormatting sqref="O8">
    <cfRule type="expression" dxfId="32" priority="36">
      <formula>$O$19="FE"</formula>
    </cfRule>
  </conditionalFormatting>
  <conditionalFormatting sqref="P8">
    <cfRule type="expression" dxfId="31" priority="35">
      <formula>$P$19="FE"</formula>
    </cfRule>
  </conditionalFormatting>
  <conditionalFormatting sqref="Q8">
    <cfRule type="expression" dxfId="30" priority="34">
      <formula>$Q$19="FE"</formula>
    </cfRule>
  </conditionalFormatting>
  <conditionalFormatting sqref="R8">
    <cfRule type="expression" dxfId="29" priority="33">
      <formula>$R$19="FE"</formula>
    </cfRule>
  </conditionalFormatting>
  <conditionalFormatting sqref="S8">
    <cfRule type="expression" dxfId="28" priority="32">
      <formula>$S$19="FE"</formula>
    </cfRule>
  </conditionalFormatting>
  <conditionalFormatting sqref="T8">
    <cfRule type="expression" dxfId="27" priority="31">
      <formula>$T$19="FE"</formula>
    </cfRule>
  </conditionalFormatting>
  <conditionalFormatting sqref="U8">
    <cfRule type="expression" dxfId="26" priority="30">
      <formula>$U$19="FE"</formula>
    </cfRule>
  </conditionalFormatting>
  <conditionalFormatting sqref="V8">
    <cfRule type="expression" dxfId="25" priority="29">
      <formula>$V$19="FE"</formula>
    </cfRule>
  </conditionalFormatting>
  <conditionalFormatting sqref="W8">
    <cfRule type="expression" dxfId="24" priority="28">
      <formula>$W$19="FE"</formula>
    </cfRule>
  </conditionalFormatting>
  <conditionalFormatting sqref="X8">
    <cfRule type="expression" dxfId="23" priority="27">
      <formula>$X$19="FE"</formula>
    </cfRule>
  </conditionalFormatting>
  <conditionalFormatting sqref="Y8">
    <cfRule type="expression" dxfId="22" priority="26">
      <formula>$Y$19="FE"</formula>
    </cfRule>
  </conditionalFormatting>
  <conditionalFormatting sqref="Z8">
    <cfRule type="expression" dxfId="21" priority="25">
      <formula>$Z$19="FE"</formula>
    </cfRule>
  </conditionalFormatting>
  <conditionalFormatting sqref="AA8">
    <cfRule type="expression" dxfId="20" priority="24">
      <formula>$AA$19="FE"</formula>
    </cfRule>
  </conditionalFormatting>
  <conditionalFormatting sqref="AB8">
    <cfRule type="expression" dxfId="19" priority="23">
      <formula>$AB$19="FE"</formula>
    </cfRule>
  </conditionalFormatting>
  <conditionalFormatting sqref="AC8">
    <cfRule type="expression" dxfId="18" priority="22">
      <formula>$AC$19="FE"</formula>
    </cfRule>
  </conditionalFormatting>
  <conditionalFormatting sqref="AD8">
    <cfRule type="expression" dxfId="17" priority="21">
      <formula>$AD$19="FE"</formula>
    </cfRule>
  </conditionalFormatting>
  <conditionalFormatting sqref="AE8">
    <cfRule type="expression" dxfId="16" priority="20">
      <formula>$AE$19="FE"</formula>
    </cfRule>
  </conditionalFormatting>
  <conditionalFormatting sqref="AF8">
    <cfRule type="expression" dxfId="15" priority="19">
      <formula>$AF$19="FE"</formula>
    </cfRule>
  </conditionalFormatting>
  <conditionalFormatting sqref="B7:AF7">
    <cfRule type="containsText" dxfId="14" priority="17" operator="containsText" text="DOM">
      <formula>NOT(ISERROR(SEARCH("DOM",B7)))</formula>
    </cfRule>
    <cfRule type="containsText" dxfId="13" priority="18" operator="containsText" text="SÁB">
      <formula>NOT(ISERROR(SEARCH("SÁB",B7)))</formula>
    </cfRule>
  </conditionalFormatting>
  <conditionalFormatting sqref="J23">
    <cfRule type="containsText" dxfId="12" priority="16" operator="containsText" text="FE">
      <formula>NOT(ISERROR(SEARCH("FE",J23)))</formula>
    </cfRule>
  </conditionalFormatting>
  <conditionalFormatting sqref="N21">
    <cfRule type="containsText" dxfId="11" priority="13" operator="containsText" text="T3">
      <formula>NOT(ISERROR(SEARCH("T3",N21)))</formula>
    </cfRule>
    <cfRule type="containsText" dxfId="10" priority="14" operator="containsText" text="T2">
      <formula>NOT(ISERROR(SEARCH("T2",N21)))</formula>
    </cfRule>
    <cfRule type="containsText" dxfId="9" priority="15" operator="containsText" text="T1">
      <formula>NOT(ISERROR(SEARCH("T1",N21)))</formula>
    </cfRule>
  </conditionalFormatting>
  <conditionalFormatting sqref="N24">
    <cfRule type="containsText" dxfId="8" priority="10" operator="containsText" text="T3">
      <formula>NOT(ISERROR(SEARCH("T3",N24)))</formula>
    </cfRule>
    <cfRule type="containsText" dxfId="7" priority="11" operator="containsText" text="T2">
      <formula>NOT(ISERROR(SEARCH("T2",N24)))</formula>
    </cfRule>
    <cfRule type="containsText" dxfId="6" priority="12" operator="containsText" text="T1">
      <formula>NOT(ISERROR(SEARCH("T1",N24)))</formula>
    </cfRule>
  </conditionalFormatting>
  <conditionalFormatting sqref="N25">
    <cfRule type="containsText" dxfId="5" priority="7" operator="containsText" text="T3">
      <formula>NOT(ISERROR(SEARCH("T3",N25)))</formula>
    </cfRule>
    <cfRule type="containsText" dxfId="4" priority="8" operator="containsText" text="T2">
      <formula>NOT(ISERROR(SEARCH("T2",N25)))</formula>
    </cfRule>
    <cfRule type="containsText" dxfId="3" priority="9" operator="containsText" text="T1">
      <formula>NOT(ISERROR(SEARCH("T1",N25)))</formula>
    </cfRule>
  </conditionalFormatting>
  <conditionalFormatting sqref="AA22">
    <cfRule type="containsText" dxfId="2" priority="6" operator="containsText" text="E1">
      <formula>NOT(ISERROR(SEARCH("E1",AA22)))</formula>
    </cfRule>
  </conditionalFormatting>
  <conditionalFormatting sqref="AA23">
    <cfRule type="containsText" dxfId="1" priority="5" operator="containsText" text="E2">
      <formula>NOT(ISERROR(SEARCH("E2",AA23)))</formula>
    </cfRule>
  </conditionalFormatting>
  <conditionalFormatting sqref="AA24">
    <cfRule type="containsText" dxfId="0" priority="4" operator="containsText" text="E3">
      <formula>NOT(ISERROR(SEARCH("E3",AA24)))</formula>
    </cfRule>
  </conditionalFormatting>
  <dataValidations count="1">
    <dataValidation type="list" allowBlank="1" showInputMessage="1" showErrorMessage="1" sqref="N21 N24:N25" xr:uid="{FDEF5FF9-B5FE-433B-AC0D-FA6779D9E9FF}">
      <formula1>$AG$15:$AG$17</formula1>
    </dataValidation>
  </dataValidations>
  <pageMargins left="0.511811024" right="0.511811024" top="0.78740157499999996" bottom="0.78740157499999996" header="0.31496062000000002" footer="0.31496062000000002"/>
  <pageSetup paperSize="5" scale="75" orientation="landscape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42E5DC0-947A-4E7F-AF55-7D381F680B65}">
          <x14:formula1>
            <xm:f>Configuração!$E$20:$E$24</xm:f>
          </x14:formula1>
          <xm:sqref>AA22:AA24</xm:sqref>
        </x14:dataValidation>
        <x14:dataValidation type="list" allowBlank="1" showInputMessage="1" showErrorMessage="1" xr:uid="{F157DF92-EDB5-4A02-AD2D-0BA9B0178AE7}">
          <x14:formula1>
            <xm:f>Configuração!$N$7:$N$1048576</xm:f>
          </x14:formula1>
          <xm:sqref>AD22:AD24 Q21:Q25</xm:sqref>
        </x14:dataValidation>
        <x14:dataValidation type="list" allowBlank="1" showInputMessage="1" showErrorMessage="1" xr:uid="{0A87CDE3-383F-4EB2-9F13-8CE81106A1EA}">
          <x14:formula1>
            <xm:f>Configuração!$D$20:$D$28</xm:f>
          </x14:formula1>
          <xm:sqref>B9:AF18</xm:sqref>
        </x14:dataValidation>
        <x14:dataValidation type="list" allowBlank="1" showInputMessage="1" showErrorMessage="1" xr:uid="{53BFBAB2-EB7B-4563-ADF4-E4A96BC66626}">
          <x14:formula1>
            <xm:f>Configuração!$L$7:$L$22</xm:f>
          </x14:formula1>
          <xm:sqref>A9:A18 T21:T25 W21:W25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Escala</vt:lpstr>
      <vt:lpstr>Configuração</vt:lpstr>
      <vt:lpstr>Dashboard</vt:lpstr>
      <vt:lpstr>Ajuda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Luciano Guilherme da Costa Olegário</dc:creator>
  <cp:keywords/>
  <dc:description/>
  <cp:lastModifiedBy>Luciano Guilherme da Costa Olegário</cp:lastModifiedBy>
  <cp:revision/>
  <dcterms:created xsi:type="dcterms:W3CDTF">2024-04-09T06:23:04Z</dcterms:created>
  <dcterms:modified xsi:type="dcterms:W3CDTF">2024-07-30T15:09:32Z</dcterms:modified>
  <cp:category/>
  <cp:contentStatus/>
</cp:coreProperties>
</file>